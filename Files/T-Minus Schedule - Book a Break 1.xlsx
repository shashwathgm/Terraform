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https://healthbc.sharepoint.com/sites/KDCExitProgramFH/Shared Documents/KPMG/4) Migration Planning/T Minus Deliverable/"/>
    </mc:Choice>
  </mc:AlternateContent>
  <xr:revisionPtr revIDLastSave="515" documentId="13_ncr:1_{EA0CE203-E4AB-44BE-88F2-5909FE815D36}" xr6:coauthVersionLast="47" xr6:coauthVersionMax="47" xr10:uidLastSave="{9AC55C2F-94A3-4A1E-8CFE-58E3DEE6C527}"/>
  <bookViews>
    <workbookView minimized="1" xWindow="12090" yWindow="-10845" windowWidth="14325" windowHeight="8145" firstSheet="2" activeTab="2" xr2:uid="{4104E7E3-CF0F-46E2-8FD1-7F0BDD44F082}"/>
  </bookViews>
  <sheets>
    <sheet name="Blackout Dates" sheetId="2" r:id="rId1"/>
    <sheet name="T-Minus - KAMM Templat" sheetId="1" state="hidden" r:id="rId2"/>
    <sheet name="T-Minus Schedule- Book a Break" sheetId="10" r:id="rId3"/>
    <sheet name="T-Minus Schedule - Ivanti" sheetId="4" state="hidden" r:id="rId4"/>
  </sheets>
  <definedNames>
    <definedName name="_xlnm._FilterDatabase" localSheetId="1">'T-Minus - KAMM Templat'!$B$8:$BQ$11</definedName>
    <definedName name="_xlnm._FilterDatabase" localSheetId="3">'T-Minus Schedule - Ivanti'!$B$8:$AS$8</definedName>
    <definedName name="Blackout_Dates">'Blackout Dates'!$A$1:$A$25</definedName>
    <definedName name="Holiday_Dates">#REF!</definedName>
    <definedName name="Status_Codes" localSheetId="3">'T-Minus Schedule - Ivanti'!$G$4:$G$4</definedName>
    <definedName name="Status_Codes">'T-Minus - KAMM Templat'!$G$4:$G$4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9" i="10" l="1"/>
  <c r="H9" i="10"/>
  <c r="AT9" i="10"/>
  <c r="T9" i="10"/>
  <c r="AJ9" i="10"/>
  <c r="AV9" i="10"/>
  <c r="V9" i="10"/>
  <c r="AP9" i="10"/>
  <c r="AL9" i="10"/>
  <c r="N9" i="10"/>
  <c r="AN9" i="10"/>
  <c r="F9" i="10"/>
  <c r="BB9" i="10"/>
  <c r="AZ9" i="10"/>
  <c r="BP9" i="10"/>
  <c r="BN9" i="10"/>
  <c r="BL9" i="10"/>
  <c r="BJ9" i="10"/>
  <c r="BH9" i="10"/>
  <c r="BF9" i="10"/>
  <c r="BD9" i="10"/>
  <c r="AX9" i="10"/>
  <c r="AR9" i="10"/>
  <c r="AH9" i="10"/>
  <c r="AF9" i="10"/>
  <c r="AD9" i="10"/>
  <c r="AB9" i="10"/>
  <c r="Z9" i="10"/>
  <c r="X9" i="10"/>
  <c r="P9" i="10"/>
  <c r="L9" i="10"/>
  <c r="J9" i="10"/>
  <c r="BN9" i="4" l="1"/>
  <c r="BL9" i="4"/>
  <c r="BJ9" i="4"/>
  <c r="BH9" i="4"/>
  <c r="BF9" i="4"/>
  <c r="BD9" i="4"/>
  <c r="BB9" i="4"/>
  <c r="AZ9" i="4"/>
  <c r="AX9" i="4"/>
  <c r="AV9" i="4"/>
  <c r="AT9" i="4"/>
  <c r="AR9" i="4"/>
  <c r="AP9" i="4"/>
  <c r="AN9" i="4"/>
  <c r="AL9" i="4"/>
  <c r="AJ9" i="4"/>
  <c r="AH9" i="4"/>
  <c r="AF9" i="4"/>
  <c r="AD9" i="4"/>
  <c r="AB9" i="4"/>
  <c r="Z9" i="4"/>
  <c r="X9" i="4"/>
  <c r="V9" i="4"/>
  <c r="T9" i="4"/>
  <c r="R9" i="4"/>
  <c r="P9" i="4"/>
  <c r="N9" i="4"/>
  <c r="L9" i="4"/>
  <c r="J9" i="4"/>
  <c r="H9" i="4"/>
  <c r="F9" i="4"/>
  <c r="F10" i="1" l="1"/>
  <c r="H9" i="1"/>
  <c r="AF11" i="1"/>
  <c r="AB10" i="1"/>
  <c r="AB11" i="1"/>
  <c r="BD9" i="1" l="1"/>
  <c r="BD10" i="1"/>
  <c r="BF11" i="1"/>
  <c r="BN9" i="1"/>
  <c r="BN10" i="1"/>
  <c r="BP11" i="1"/>
  <c r="BL9" i="1"/>
  <c r="BL10" i="1"/>
  <c r="BN11" i="1"/>
  <c r="BJ9" i="1"/>
  <c r="BJ10" i="1"/>
  <c r="BL11" i="1"/>
  <c r="BH9" i="1"/>
  <c r="BH10" i="1"/>
  <c r="BJ11" i="1"/>
  <c r="BF9" i="1"/>
  <c r="BF10" i="1"/>
  <c r="BH11" i="1"/>
  <c r="BB9" i="1"/>
  <c r="BB10" i="1"/>
  <c r="BD11" i="1"/>
  <c r="AZ9" i="1"/>
  <c r="AZ10" i="1"/>
  <c r="BB11" i="1"/>
  <c r="AX9" i="1"/>
  <c r="AX10" i="1"/>
  <c r="AZ11" i="1"/>
  <c r="AV9" i="1"/>
  <c r="AV10" i="1"/>
  <c r="AX11" i="1"/>
  <c r="AV11" i="1"/>
  <c r="AT9" i="1"/>
  <c r="AT10" i="1"/>
  <c r="AT11" i="1"/>
  <c r="AR9" i="1"/>
  <c r="AR10" i="1"/>
  <c r="AR11" i="1"/>
  <c r="AP9" i="1"/>
  <c r="AP10" i="1"/>
  <c r="AP11" i="1"/>
  <c r="AN9" i="1"/>
  <c r="AN10" i="1"/>
  <c r="AN11" i="1"/>
  <c r="AL9" i="1"/>
  <c r="AL10" i="1"/>
  <c r="AL11" i="1"/>
  <c r="AJ9" i="1"/>
  <c r="AJ10" i="1"/>
  <c r="AJ11" i="1"/>
  <c r="AH9" i="1"/>
  <c r="AH10" i="1"/>
  <c r="AH11" i="1"/>
  <c r="AF9" i="1"/>
  <c r="AF10" i="1"/>
  <c r="AD9" i="1"/>
  <c r="AD10" i="1"/>
  <c r="AD11" i="1"/>
  <c r="AB9" i="1"/>
  <c r="Z9" i="1"/>
  <c r="Z10" i="1"/>
  <c r="Z11" i="1"/>
  <c r="X9" i="1"/>
  <c r="X10" i="1"/>
  <c r="X11" i="1"/>
  <c r="V9" i="1"/>
  <c r="V10" i="1"/>
  <c r="V11" i="1"/>
  <c r="T9" i="1"/>
  <c r="T10" i="1"/>
  <c r="T11" i="1"/>
  <c r="R9" i="1"/>
  <c r="R10" i="1"/>
  <c r="R11" i="1"/>
  <c r="P9" i="1"/>
  <c r="P10" i="1"/>
  <c r="P11" i="1"/>
  <c r="N9" i="1"/>
  <c r="N10" i="1"/>
  <c r="N11" i="1"/>
  <c r="L9" i="1"/>
  <c r="L10" i="1"/>
  <c r="L11" i="1"/>
  <c r="J9" i="1"/>
  <c r="J10" i="1"/>
  <c r="J11" i="1"/>
  <c r="H10" i="1"/>
  <c r="H11" i="1"/>
  <c r="F11" i="1"/>
  <c r="F9" i="1"/>
  <c r="T3" i="1" l="1"/>
  <c r="P3" i="1"/>
  <c r="L3" i="1"/>
  <c r="H3" i="1"/>
</calcChain>
</file>

<file path=xl/sharedStrings.xml><?xml version="1.0" encoding="utf-8"?>
<sst xmlns="http://schemas.openxmlformats.org/spreadsheetml/2006/main" count="535" uniqueCount="168">
  <si>
    <t>A</t>
  </si>
  <si>
    <t>C</t>
  </si>
  <si>
    <t>D</t>
  </si>
  <si>
    <t>R</t>
  </si>
  <si>
    <t>FHA App Migration</t>
  </si>
  <si>
    <t>OWNERS</t>
  </si>
  <si>
    <t>T-Minus Schedule</t>
  </si>
  <si>
    <t>Status Legend</t>
  </si>
  <si>
    <t>Active</t>
  </si>
  <si>
    <t>Complete</t>
  </si>
  <si>
    <t>Delayed</t>
  </si>
  <si>
    <t>At Risk</t>
  </si>
  <si>
    <t>Future Date</t>
  </si>
  <si>
    <t>DD-MM</t>
  </si>
  <si>
    <t>KPMG</t>
  </si>
  <si>
    <t>K</t>
  </si>
  <si>
    <t>FHA-Security Team</t>
  </si>
  <si>
    <t>NS</t>
  </si>
  <si>
    <t>Google</t>
  </si>
  <si>
    <t>G</t>
  </si>
  <si>
    <t>KPMG &amp; FHA</t>
  </si>
  <si>
    <t>KN</t>
  </si>
  <si>
    <t>FHA - Application Team</t>
  </si>
  <si>
    <t>NA</t>
  </si>
  <si>
    <t>FHA - Network Team</t>
  </si>
  <si>
    <t>NN</t>
  </si>
  <si>
    <t>FHA - Infrastructure Team</t>
  </si>
  <si>
    <t>NI</t>
  </si>
  <si>
    <t>FHA - CCoE</t>
  </si>
  <si>
    <t>NC</t>
  </si>
  <si>
    <t>T- Milestone</t>
  </si>
  <si>
    <t>App Owner KickOff meeting</t>
  </si>
  <si>
    <t>Document repository access</t>
  </si>
  <si>
    <t>App intake form</t>
  </si>
  <si>
    <t>GCP Environment Access (Dev/Test/Prod)</t>
  </si>
  <si>
    <t>Env on-premise Access</t>
  </si>
  <si>
    <t>Target state Architecture design</t>
  </si>
  <si>
    <t>Target state Architecture review and approval</t>
  </si>
  <si>
    <t>Source setup</t>
  </si>
  <si>
    <t>GCP Dev Platform setup</t>
  </si>
  <si>
    <t>Lower Env Migration execution(App)</t>
  </si>
  <si>
    <t>Provide access to App team</t>
  </si>
  <si>
    <t>Deploy to Non prod Env (GCP)</t>
  </si>
  <si>
    <t>Deploy latest code to Dev Env</t>
  </si>
  <si>
    <t>Infra Smoke test/Approval</t>
  </si>
  <si>
    <t>Make Changes to code (if needed) as per FHA Guidelines</t>
  </si>
  <si>
    <t>Review Code Changes</t>
  </si>
  <si>
    <t xml:space="preserve">GCP Non-Prod Platform setup	</t>
  </si>
  <si>
    <t>Deploy to Integrated Non- Prod Envi.</t>
  </si>
  <si>
    <t>Test and Validate App Non-Prod Envi.</t>
  </si>
  <si>
    <t>Deploy to Non- PROD</t>
  </si>
  <si>
    <t>Data Migration</t>
  </si>
  <si>
    <t>Non PROD migration Acceptance</t>
  </si>
  <si>
    <t>GCP Prod Platform setup</t>
  </si>
  <si>
    <t>PROD Migration execution(App)</t>
  </si>
  <si>
    <t>Deploy latest code to Production Env</t>
  </si>
  <si>
    <t xml:space="preserve">      Prod/DR Cutover</t>
  </si>
  <si>
    <t xml:space="preserve">     Prod Smoke/UAT Test </t>
  </si>
  <si>
    <t>Notify of Successful Migration</t>
  </si>
  <si>
    <t>Lesson Learned</t>
  </si>
  <si>
    <t xml:space="preserve">      Provide Hyper-Care</t>
  </si>
  <si>
    <t>Transition</t>
  </si>
  <si>
    <t>Owners</t>
  </si>
  <si>
    <t>K/NA/NI/NS</t>
  </si>
  <si>
    <t>K/NI/NA/NS/G</t>
  </si>
  <si>
    <t>NI/NA/NS</t>
  </si>
  <si>
    <t>K/NI</t>
  </si>
  <si>
    <t>K/NA</t>
  </si>
  <si>
    <t>NA/NS</t>
  </si>
  <si>
    <t>K/NI/NA</t>
  </si>
  <si>
    <t>K/NA/NI</t>
  </si>
  <si>
    <t>NI/NA</t>
  </si>
  <si>
    <t>NA/NI/NS</t>
  </si>
  <si>
    <t>NA/NI</t>
  </si>
  <si>
    <t>T-Timeline</t>
  </si>
  <si>
    <t>Application</t>
  </si>
  <si>
    <t>Target Plat.</t>
  </si>
  <si>
    <t xml:space="preserve">Wave  </t>
  </si>
  <si>
    <t>Migration</t>
  </si>
  <si>
    <t>T- Date</t>
  </si>
  <si>
    <t>S</t>
  </si>
  <si>
    <t>Charge Master Toolkit (Craneware)</t>
  </si>
  <si>
    <t>GCE</t>
  </si>
  <si>
    <t>Wave 0</t>
  </si>
  <si>
    <t>Sage 50 Accounting</t>
  </si>
  <si>
    <t>Practice Innovation Cloud</t>
  </si>
  <si>
    <t xml:space="preserve"> </t>
  </si>
  <si>
    <t>Blackout Dates</t>
  </si>
  <si>
    <t>Non-Prod</t>
  </si>
  <si>
    <t>Prod</t>
  </si>
  <si>
    <t>Status Legend - S</t>
  </si>
  <si>
    <t>Fraser health</t>
  </si>
  <si>
    <t>F</t>
  </si>
  <si>
    <t>PHSA</t>
  </si>
  <si>
    <t>P</t>
  </si>
  <si>
    <t>Microsoft</t>
  </si>
  <si>
    <t>M</t>
  </si>
  <si>
    <t>Fraser health App Team</t>
  </si>
  <si>
    <t>FA</t>
  </si>
  <si>
    <t>App intake and asses current state architecture</t>
  </si>
  <si>
    <t>Initial Communication to all (FH/App Owner/MS/Vendors)</t>
  </si>
  <si>
    <t>Approval Mail from App Owner for Non Prod Migration</t>
  </si>
  <si>
    <t>Azure Platform setup - Non Prod</t>
  </si>
  <si>
    <t>Migration Runbook - Review &amp; Approval(Non-prod)</t>
  </si>
  <si>
    <t>Notify MS to Initiate the Replication of servers in Azure Migrate</t>
  </si>
  <si>
    <t>Firewall Opening Request, Local User Account &amp; Server Restart Request</t>
  </si>
  <si>
    <t>Test-Migration execution of Non prod.</t>
  </si>
  <si>
    <t>VM smoke test (Infra Level)</t>
  </si>
  <si>
    <t>Notify users/app team of downtime</t>
  </si>
  <si>
    <t>Non-Prod Migration Execution</t>
  </si>
  <si>
    <t xml:space="preserve">Performance &amp; Stability testing by application team </t>
  </si>
  <si>
    <t>User Acceptance Prod Env &amp; Notify Stakeholders of Successful Migration</t>
  </si>
  <si>
    <t>Target state Architecture review and approval (Prod)</t>
  </si>
  <si>
    <t>Creation of MOP/Review &amp; signoff (prod)</t>
  </si>
  <si>
    <t>RFC Creation &amp; approval (prod)</t>
  </si>
  <si>
    <t>Azure Platform setup - Prod</t>
  </si>
  <si>
    <t>Migration Runbook - Review &amp; Approval(Prod)</t>
  </si>
  <si>
    <t>Test-Migration execution of Prod.</t>
  </si>
  <si>
    <t>(Go - NoGo) Approval</t>
  </si>
  <si>
    <t>Prod Cutover and post migration tasks</t>
  </si>
  <si>
    <t>Lesson-Learned</t>
  </si>
  <si>
    <t>Knowledge transfer and Transition</t>
  </si>
  <si>
    <t>Provide Transition Support</t>
  </si>
  <si>
    <t>F/K</t>
  </si>
  <si>
    <t>K/F/FA</t>
  </si>
  <si>
    <t>K/F</t>
  </si>
  <si>
    <t>K/F/M</t>
  </si>
  <si>
    <t>K/F/FA/M</t>
  </si>
  <si>
    <t>K/M</t>
  </si>
  <si>
    <t>P/K</t>
  </si>
  <si>
    <t>FA/M/K</t>
  </si>
  <si>
    <t>M/K</t>
  </si>
  <si>
    <t>F/K/FA/M</t>
  </si>
  <si>
    <t>FA/F</t>
  </si>
  <si>
    <t>Book a break (Original Date)</t>
  </si>
  <si>
    <t>Azure</t>
  </si>
  <si>
    <t>Wave 1 (Non-Prod)
Wave 2 (Prod)</t>
  </si>
  <si>
    <t>Book a break (Revised  Date)</t>
  </si>
  <si>
    <t>FHA</t>
  </si>
  <si>
    <t>NTT</t>
  </si>
  <si>
    <t>NT</t>
  </si>
  <si>
    <t>FH App integration</t>
  </si>
  <si>
    <t>Finalize Wave applications</t>
  </si>
  <si>
    <t>Initial Communication to all (Vendors, CAB, NTT, PHSA)</t>
  </si>
  <si>
    <t>App intake and define current state architecture</t>
  </si>
  <si>
    <t>Azure Platform setup Non-Prod</t>
  </si>
  <si>
    <t>Migration execution to Non-Prod.</t>
  </si>
  <si>
    <t>VM smoke test</t>
  </si>
  <si>
    <t>App configuration and integrations update</t>
  </si>
  <si>
    <t xml:space="preserve">Status Update Communication </t>
  </si>
  <si>
    <t>NonProd - Data sync</t>
  </si>
  <si>
    <t>UAT and validation</t>
  </si>
  <si>
    <t>Non-prod Signoff</t>
  </si>
  <si>
    <t>Change review  Board approval</t>
  </si>
  <si>
    <t>Migration execution to Prod.</t>
  </si>
  <si>
    <t xml:space="preserve">Prod Status Update Communication </t>
  </si>
  <si>
    <t>App configuration/integrations update(NTT)</t>
  </si>
  <si>
    <t>Prod - Data sync</t>
  </si>
  <si>
    <t xml:space="preserve">User acceptance Test - Prod Env </t>
  </si>
  <si>
    <t>(Go-NoGo) Approval</t>
  </si>
  <si>
    <t>Notify Stakeholders of Successful Migration</t>
  </si>
  <si>
    <t>Provide Hyper-Care</t>
  </si>
  <si>
    <t>K/P</t>
  </si>
  <si>
    <t>FA/NT</t>
  </si>
  <si>
    <t>K/FA/NTT/PHSA</t>
  </si>
  <si>
    <t>K/F/PHSA</t>
  </si>
  <si>
    <t>Ivanti</t>
  </si>
  <si>
    <t>Wave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</si>
</sst>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sz val="11"/>
      <color theme="0"/>
      <name val="Calibri"/>
      <family val="2"/>
      <scheme val="minor"/>
    </font>
    <font>
      <sz val="8"/>
      <name val="Calibri"/>
      <family val="2"/>
      <scheme val="minor"/>
    </font>
    <font>
      <sz val="10"/>
      <name val="Arial"/>
      <family val="2"/>
    </font>
    <font>
      <b/>
      <sz val="14"/>
      <color theme="1"/>
      <name val="Calibri"/>
      <family val="2"/>
      <scheme val="minor"/>
    </font>
    <font>
      <b/>
      <sz val="11"/>
      <color theme="0"/>
      <name val="Calibri"/>
      <family val="2"/>
      <scheme val="minor"/>
    </font>
    <font>
      <sz val="9"/>
      <color theme="0"/>
      <name val="Calibri"/>
      <family val="2"/>
      <scheme val="minor"/>
    </font>
    <font>
      <sz val="9"/>
      <color theme="1"/>
      <name val="Calibri"/>
      <family val="2"/>
      <scheme val="minor"/>
    </font>
    <font>
      <sz val="9"/>
      <color theme="1" tint="4.9989318521683403E-2"/>
      <name val="Calibri"/>
      <family val="2"/>
      <scheme val="minor"/>
    </font>
    <font>
      <sz val="9"/>
      <color theme="2" tint="-0.499984740745262"/>
      <name val="Calibri"/>
      <family val="2"/>
      <scheme val="minor"/>
    </font>
    <font>
      <b/>
      <sz val="9"/>
      <color theme="1"/>
      <name val="Calibri"/>
      <family val="2"/>
      <scheme val="minor"/>
    </font>
    <font>
      <sz val="12"/>
      <color theme="1"/>
      <name val="Calibri"/>
      <family val="2"/>
      <scheme val="minor"/>
    </font>
    <font>
      <b/>
      <sz val="12"/>
      <color rgb="FF2E1946"/>
      <name val="Calibri"/>
      <family val="2"/>
    </font>
    <font>
      <b/>
      <sz val="12"/>
      <color theme="0"/>
      <name val="Calibri"/>
      <family val="2"/>
      <scheme val="minor"/>
    </font>
    <font>
      <b/>
      <sz val="10"/>
      <color theme="0"/>
      <name val="Calibri"/>
      <family val="2"/>
      <scheme val="minor"/>
    </font>
    <font>
      <b/>
      <sz val="11"/>
      <color rgb="FFFFFFFF"/>
      <name val="Calibri"/>
      <family val="2"/>
      <scheme val="minor"/>
    </font>
    <font>
      <b/>
      <sz val="11"/>
      <color rgb="FFFFFFFF"/>
      <name val="Calibri"/>
      <family val="2"/>
    </font>
  </fonts>
  <fills count="22">
    <fill>
      <patternFill patternType="none"/>
    </fill>
    <fill>
      <patternFill patternType="gray125"/>
    </fill>
    <fill>
      <patternFill patternType="solid">
        <fgColor theme="4" tint="0.59999389629810485"/>
        <bgColor indexed="64"/>
      </patternFill>
    </fill>
    <fill>
      <patternFill patternType="solid">
        <fgColor theme="1" tint="0.34998626667073579"/>
        <bgColor indexed="64"/>
      </patternFill>
    </fill>
    <fill>
      <patternFill patternType="solid">
        <fgColor rgb="FF2E1A47"/>
        <bgColor indexed="64"/>
      </patternFill>
    </fill>
    <fill>
      <patternFill patternType="solid">
        <fgColor theme="2" tint="-0.499984740745262"/>
        <bgColor indexed="64"/>
      </patternFill>
    </fill>
    <fill>
      <patternFill patternType="solid">
        <fgColor theme="9"/>
        <bgColor indexed="64"/>
      </patternFill>
    </fill>
    <fill>
      <patternFill patternType="solid">
        <fgColor theme="0"/>
        <bgColor indexed="64"/>
      </patternFill>
    </fill>
    <fill>
      <patternFill patternType="solid">
        <fgColor rgb="FFA3DCE9"/>
        <bgColor indexed="64"/>
      </patternFill>
    </fill>
    <fill>
      <patternFill patternType="solid">
        <fgColor rgb="FFFF0000"/>
        <bgColor indexed="64"/>
      </patternFill>
    </fill>
    <fill>
      <patternFill patternType="solid">
        <fgColor rgb="FFFFFF00"/>
        <bgColor indexed="64"/>
      </patternFill>
    </fill>
    <fill>
      <patternFill patternType="solid">
        <fgColor theme="2" tint="-9.9978637043366805E-2"/>
        <bgColor indexed="64"/>
      </patternFill>
    </fill>
    <fill>
      <patternFill patternType="solid">
        <fgColor rgb="FF0070C0"/>
        <bgColor indexed="64"/>
      </patternFill>
    </fill>
    <fill>
      <patternFill patternType="solid">
        <fgColor theme="7" tint="0.39997558519241921"/>
        <bgColor indexed="64"/>
      </patternFill>
    </fill>
    <fill>
      <patternFill patternType="solid">
        <fgColor theme="5" tint="-0.249977111117893"/>
        <bgColor indexed="64"/>
      </patternFill>
    </fill>
    <fill>
      <patternFill patternType="solid">
        <fgColor theme="9" tint="0.39997558519241921"/>
        <bgColor indexed="64"/>
      </patternFill>
    </fill>
    <fill>
      <patternFill patternType="solid">
        <fgColor theme="3" tint="0.39997558519241921"/>
        <bgColor indexed="64"/>
      </patternFill>
    </fill>
    <fill>
      <patternFill patternType="solid">
        <fgColor theme="1" tint="0.14999847407452621"/>
        <bgColor indexed="64"/>
      </patternFill>
    </fill>
    <fill>
      <patternFill patternType="solid">
        <fgColor theme="8" tint="-0.499984740745262"/>
        <bgColor indexed="64"/>
      </patternFill>
    </fill>
    <fill>
      <patternFill patternType="solid">
        <fgColor theme="5" tint="0.39997558519241921"/>
        <bgColor indexed="64"/>
      </patternFill>
    </fill>
    <fill>
      <patternFill patternType="solid">
        <fgColor rgb="FF1F4E78"/>
        <bgColor rgb="FF000000"/>
      </patternFill>
    </fill>
    <fill>
      <patternFill patternType="solid">
        <fgColor rgb="FF92D050"/>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theme="2"/>
      </left>
      <right style="thin">
        <color theme="2"/>
      </right>
      <top style="thin">
        <color theme="2"/>
      </top>
      <bottom style="thin">
        <color theme="2"/>
      </bottom>
      <diagonal/>
    </border>
    <border>
      <left style="medium">
        <color indexed="64"/>
      </left>
      <right style="thin">
        <color theme="2"/>
      </right>
      <top style="thin">
        <color theme="2"/>
      </top>
      <bottom style="thin">
        <color theme="2"/>
      </bottom>
      <diagonal/>
    </border>
    <border>
      <left style="thin">
        <color theme="2"/>
      </left>
      <right style="medium">
        <color indexed="64"/>
      </right>
      <top style="thin">
        <color theme="2"/>
      </top>
      <bottom style="thin">
        <color theme="2"/>
      </bottom>
      <diagonal/>
    </border>
    <border>
      <left style="medium">
        <color indexed="64"/>
      </left>
      <right/>
      <top style="medium">
        <color indexed="64"/>
      </top>
      <bottom style="medium">
        <color indexed="64"/>
      </bottom>
      <diagonal/>
    </border>
    <border>
      <left style="thin">
        <color rgb="FF0070C0"/>
      </left>
      <right/>
      <top style="thin">
        <color rgb="FF0070C0"/>
      </top>
      <bottom style="thin">
        <color rgb="FF0070C0"/>
      </bottom>
      <diagonal/>
    </border>
    <border>
      <left/>
      <right style="thin">
        <color rgb="FF0070C0"/>
      </right>
      <top style="thin">
        <color rgb="FF0070C0"/>
      </top>
      <bottom style="thin">
        <color rgb="FF0070C0"/>
      </bottom>
      <diagonal/>
    </border>
    <border>
      <left style="thin">
        <color rgb="FFFF0000"/>
      </left>
      <right/>
      <top style="thin">
        <color rgb="FFFF0000"/>
      </top>
      <bottom style="thin">
        <color rgb="FFFF0000"/>
      </bottom>
      <diagonal/>
    </border>
    <border>
      <left/>
      <right style="thin">
        <color rgb="FFFF0000"/>
      </right>
      <top style="thin">
        <color rgb="FFFF0000"/>
      </top>
      <bottom style="thin">
        <color rgb="FFFF0000"/>
      </bottom>
      <diagonal/>
    </border>
    <border>
      <left style="thin">
        <color rgb="FFFFFF00"/>
      </left>
      <right/>
      <top style="thin">
        <color rgb="FFFFFF00"/>
      </top>
      <bottom style="thin">
        <color rgb="FFFFFF00"/>
      </bottom>
      <diagonal/>
    </border>
    <border>
      <left/>
      <right style="thin">
        <color rgb="FFFFFF00"/>
      </right>
      <top style="thin">
        <color rgb="FFFFFF00"/>
      </top>
      <bottom style="thin">
        <color rgb="FFFFFF00"/>
      </bottom>
      <diagonal/>
    </border>
    <border>
      <left style="thin">
        <color rgb="FF92D050"/>
      </left>
      <right style="thin">
        <color rgb="FF92D050"/>
      </right>
      <top style="thin">
        <color rgb="FF92D050"/>
      </top>
      <bottom style="thin">
        <color rgb="FF92D050"/>
      </bottom>
      <diagonal/>
    </border>
    <border>
      <left/>
      <right/>
      <top style="thin">
        <color rgb="FF92D050"/>
      </top>
      <bottom style="thin">
        <color rgb="FF92D050"/>
      </bottom>
      <diagonal/>
    </border>
    <border>
      <left style="thin">
        <color theme="1" tint="0.499984740745262"/>
      </left>
      <right/>
      <top style="thin">
        <color theme="1" tint="0.499984740745262"/>
      </top>
      <bottom style="thin">
        <color theme="1" tint="0.499984740745262"/>
      </bottom>
      <diagonal/>
    </border>
    <border>
      <left style="thin">
        <color theme="0" tint="-0.249977111117893"/>
      </left>
      <right style="thin">
        <color theme="0" tint="-0.249977111117893"/>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0" tint="-0.249977111117893"/>
      </left>
      <right style="thin">
        <color theme="0" tint="-0.249977111117893"/>
      </right>
      <top style="thin">
        <color rgb="FF0070C0"/>
      </top>
      <bottom style="thin">
        <color rgb="FF0070C0"/>
      </bottom>
      <diagonal/>
    </border>
    <border>
      <left style="thin">
        <color theme="0" tint="-0.249977111117893"/>
      </left>
      <right style="thin">
        <color theme="0" tint="-0.249977111117893"/>
      </right>
      <top style="thin">
        <color rgb="FFFF0000"/>
      </top>
      <bottom style="thin">
        <color rgb="FFFF0000"/>
      </bottom>
      <diagonal/>
    </border>
    <border>
      <left style="thin">
        <color theme="0" tint="-0.249977111117893"/>
      </left>
      <right style="thin">
        <color theme="0" tint="-0.249977111117893"/>
      </right>
      <top style="thin">
        <color rgb="FFFFFF00"/>
      </top>
      <bottom style="thin">
        <color rgb="FFFFFF00"/>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thin">
        <color theme="2"/>
      </bottom>
      <diagonal/>
    </border>
    <border>
      <left/>
      <right style="thin">
        <color indexed="64"/>
      </right>
      <top style="thin">
        <color indexed="64"/>
      </top>
      <bottom style="thin">
        <color theme="2"/>
      </bottom>
      <diagonal/>
    </border>
    <border>
      <left style="thin">
        <color indexed="64"/>
      </left>
      <right/>
      <top/>
      <bottom style="thin">
        <color theme="2"/>
      </bottom>
      <diagonal/>
    </border>
    <border>
      <left/>
      <right style="thin">
        <color indexed="64"/>
      </right>
      <top/>
      <bottom style="thin">
        <color theme="2"/>
      </bottom>
      <diagonal/>
    </border>
    <border>
      <left/>
      <right/>
      <top/>
      <bottom style="thin">
        <color theme="2"/>
      </bottom>
      <diagonal/>
    </border>
    <border>
      <left style="thin">
        <color theme="2"/>
      </left>
      <right/>
      <top style="thin">
        <color theme="2"/>
      </top>
      <bottom style="thin">
        <color theme="2"/>
      </bottom>
      <diagonal/>
    </border>
    <border>
      <left/>
      <right style="thin">
        <color theme="2"/>
      </right>
      <top style="thin">
        <color theme="2"/>
      </top>
      <bottom style="thin">
        <color theme="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style="thin">
        <color theme="2"/>
      </left>
      <right style="thin">
        <color theme="2"/>
      </right>
      <top/>
      <bottom style="thin">
        <color theme="2"/>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2"/>
      </left>
      <right/>
      <top style="thin">
        <color indexed="64"/>
      </top>
      <bottom style="thin">
        <color theme="2"/>
      </bottom>
      <diagonal/>
    </border>
    <border>
      <left/>
      <right style="thin">
        <color theme="2"/>
      </right>
      <top style="thin">
        <color indexed="64"/>
      </top>
      <bottom style="thin">
        <color theme="2"/>
      </bottom>
      <diagonal/>
    </border>
    <border>
      <left/>
      <right style="thin">
        <color rgb="FF000000"/>
      </right>
      <top style="thin">
        <color indexed="64"/>
      </top>
      <bottom style="thin">
        <color indexed="64"/>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s>
  <cellStyleXfs count="2">
    <xf numFmtId="0" fontId="0" fillId="0" borderId="0"/>
    <xf numFmtId="0" fontId="3" fillId="0" borderId="0"/>
  </cellStyleXfs>
  <cellXfs count="134">
    <xf numFmtId="0" fontId="0" fillId="0" borderId="0" xfId="0"/>
    <xf numFmtId="0" fontId="0" fillId="0" borderId="0" xfId="0" applyAlignment="1">
      <alignment vertical="top"/>
    </xf>
    <xf numFmtId="0" fontId="0" fillId="0" borderId="0" xfId="0" applyAlignment="1">
      <alignment horizontal="center" vertical="top"/>
    </xf>
    <xf numFmtId="0" fontId="0" fillId="0" borderId="1" xfId="0" applyBorder="1" applyAlignment="1">
      <alignment horizontal="center" vertical="top"/>
    </xf>
    <xf numFmtId="16" fontId="0" fillId="0" borderId="1" xfId="0" applyNumberFormat="1" applyBorder="1" applyAlignment="1">
      <alignment horizontal="center" vertical="top"/>
    </xf>
    <xf numFmtId="0" fontId="4" fillId="0" borderId="0" xfId="0" applyFont="1" applyAlignment="1">
      <alignment vertical="top"/>
    </xf>
    <xf numFmtId="0" fontId="1" fillId="4" borderId="1" xfId="0" applyFont="1" applyFill="1" applyBorder="1" applyAlignment="1">
      <alignment horizontal="center" vertical="top"/>
    </xf>
    <xf numFmtId="0" fontId="0" fillId="0" borderId="1" xfId="0" applyBorder="1" applyAlignment="1">
      <alignment vertical="top"/>
    </xf>
    <xf numFmtId="0" fontId="1" fillId="4" borderId="1" xfId="0" applyFont="1" applyFill="1" applyBorder="1" applyAlignment="1">
      <alignment horizontal="left" vertical="center"/>
    </xf>
    <xf numFmtId="0" fontId="1" fillId="3" borderId="2" xfId="0" applyFont="1" applyFill="1" applyBorder="1" applyAlignment="1">
      <alignment horizontal="right" vertical="top"/>
    </xf>
    <xf numFmtId="14" fontId="1" fillId="5" borderId="4" xfId="0" applyNumberFormat="1" applyFont="1" applyFill="1" applyBorder="1" applyAlignment="1">
      <alignment horizontal="center" vertical="top"/>
    </xf>
    <xf numFmtId="14" fontId="1" fillId="5" borderId="5" xfId="0" applyNumberFormat="1" applyFont="1" applyFill="1" applyBorder="1" applyAlignment="1">
      <alignment horizontal="center" vertical="top"/>
    </xf>
    <xf numFmtId="0" fontId="0" fillId="7" borderId="0" xfId="0" applyFill="1" applyAlignment="1">
      <alignment vertical="top"/>
    </xf>
    <xf numFmtId="0" fontId="8" fillId="0" borderId="0" xfId="0" applyFont="1" applyAlignment="1">
      <alignment horizontal="center" vertical="center"/>
    </xf>
    <xf numFmtId="0" fontId="9" fillId="0" borderId="14" xfId="0" applyFont="1" applyBorder="1" applyAlignment="1">
      <alignment horizontal="center" vertical="center"/>
    </xf>
    <xf numFmtId="0" fontId="9" fillId="0" borderId="16" xfId="0" applyFont="1" applyBorder="1" applyAlignment="1">
      <alignment horizontal="center" vertical="center"/>
    </xf>
    <xf numFmtId="0" fontId="9" fillId="0" borderId="18" xfId="0" applyFont="1" applyBorder="1" applyAlignment="1">
      <alignment horizontal="center" vertical="center"/>
    </xf>
    <xf numFmtId="0" fontId="7" fillId="0" borderId="22" xfId="0" applyFont="1" applyBorder="1" applyAlignment="1">
      <alignment horizontal="center" vertical="center"/>
    </xf>
    <xf numFmtId="0" fontId="9" fillId="0" borderId="23" xfId="0" applyFont="1" applyBorder="1" applyAlignment="1">
      <alignment horizontal="center" vertical="center"/>
    </xf>
    <xf numFmtId="0" fontId="7" fillId="2" borderId="24" xfId="0" applyFont="1" applyFill="1" applyBorder="1" applyAlignment="1">
      <alignment horizontal="center" vertical="center"/>
    </xf>
    <xf numFmtId="0" fontId="7" fillId="0" borderId="25" xfId="0" applyFont="1" applyBorder="1" applyAlignment="1">
      <alignment horizontal="center" vertical="center"/>
    </xf>
    <xf numFmtId="0" fontId="7" fillId="10" borderId="26" xfId="0" applyFont="1" applyFill="1" applyBorder="1" applyAlignment="1">
      <alignment horizontal="center" vertical="center"/>
    </xf>
    <xf numFmtId="0" fontId="10" fillId="0" borderId="12" xfId="0" applyFont="1" applyBorder="1" applyAlignment="1">
      <alignment vertical="center" wrapText="1"/>
    </xf>
    <xf numFmtId="0" fontId="6" fillId="6" borderId="20" xfId="0" applyFont="1" applyFill="1" applyBorder="1" applyAlignment="1">
      <alignment horizontal="center" vertical="center"/>
    </xf>
    <xf numFmtId="0" fontId="5" fillId="5" borderId="4" xfId="0" applyFont="1" applyFill="1" applyBorder="1" applyAlignment="1">
      <alignment horizontal="center" vertical="top"/>
    </xf>
    <xf numFmtId="0" fontId="6" fillId="17" borderId="19" xfId="0" applyFont="1" applyFill="1" applyBorder="1" applyAlignment="1">
      <alignment horizontal="right" vertical="center"/>
    </xf>
    <xf numFmtId="16" fontId="0" fillId="7" borderId="1" xfId="0" applyNumberFormat="1" applyFill="1" applyBorder="1" applyAlignment="1">
      <alignment horizontal="center" vertical="top"/>
    </xf>
    <xf numFmtId="0" fontId="0" fillId="7" borderId="1" xfId="0" applyFill="1" applyBorder="1" applyAlignment="1">
      <alignment horizontal="center" vertical="top"/>
    </xf>
    <xf numFmtId="0" fontId="6" fillId="6" borderId="19" xfId="0" applyFont="1" applyFill="1" applyBorder="1" applyAlignment="1">
      <alignment horizontal="center" vertical="center"/>
    </xf>
    <xf numFmtId="0" fontId="8" fillId="11" borderId="21" xfId="0" applyFont="1" applyFill="1" applyBorder="1" applyAlignment="1">
      <alignment horizontal="center" vertical="center"/>
    </xf>
    <xf numFmtId="0" fontId="6" fillId="12" borderId="13" xfId="0" applyFont="1" applyFill="1" applyBorder="1" applyAlignment="1">
      <alignment horizontal="center" vertical="center"/>
    </xf>
    <xf numFmtId="0" fontId="6" fillId="9" borderId="15" xfId="0" applyFont="1" applyFill="1" applyBorder="1" applyAlignment="1">
      <alignment horizontal="center" vertical="center"/>
    </xf>
    <xf numFmtId="0" fontId="8" fillId="10" borderId="17" xfId="0" applyFont="1" applyFill="1" applyBorder="1" applyAlignment="1">
      <alignment horizontal="center" vertical="center"/>
    </xf>
    <xf numFmtId="0" fontId="5" fillId="18" borderId="6" xfId="0" applyFont="1" applyFill="1" applyBorder="1" applyAlignment="1">
      <alignment horizontal="center" vertical="center"/>
    </xf>
    <xf numFmtId="0" fontId="11" fillId="0" borderId="0" xfId="0" applyFont="1" applyAlignment="1">
      <alignment horizontal="center" vertical="top"/>
    </xf>
    <xf numFmtId="0" fontId="13" fillId="2" borderId="3" xfId="0" applyFont="1" applyFill="1" applyBorder="1" applyAlignment="1">
      <alignment horizontal="center" vertical="center"/>
    </xf>
    <xf numFmtId="0" fontId="11" fillId="7" borderId="0" xfId="0" applyFont="1" applyFill="1" applyAlignment="1">
      <alignment vertical="top"/>
    </xf>
    <xf numFmtId="0" fontId="14" fillId="13" borderId="19" xfId="0" applyFont="1" applyFill="1" applyBorder="1" applyAlignment="1">
      <alignment horizontal="center" vertical="center"/>
    </xf>
    <xf numFmtId="0" fontId="14" fillId="15" borderId="19" xfId="0" applyFont="1" applyFill="1" applyBorder="1" applyAlignment="1">
      <alignment horizontal="center" vertical="center"/>
    </xf>
    <xf numFmtId="0" fontId="14" fillId="16" borderId="19" xfId="0" applyFont="1" applyFill="1" applyBorder="1" applyAlignment="1">
      <alignment horizontal="center" vertical="center" wrapText="1"/>
    </xf>
    <xf numFmtId="0" fontId="14" fillId="13" borderId="19" xfId="0" applyFont="1" applyFill="1" applyBorder="1" applyAlignment="1">
      <alignment horizontal="center" vertical="center" wrapText="1"/>
    </xf>
    <xf numFmtId="0" fontId="14" fillId="14" borderId="19" xfId="0" applyFont="1" applyFill="1" applyBorder="1" applyAlignment="1">
      <alignment horizontal="center" vertical="center" wrapText="1"/>
    </xf>
    <xf numFmtId="0" fontId="14" fillId="15" borderId="19" xfId="0" applyFont="1" applyFill="1" applyBorder="1" applyAlignment="1">
      <alignment horizontal="center" vertical="center" wrapText="1"/>
    </xf>
    <xf numFmtId="0" fontId="0" fillId="0" borderId="1" xfId="0" applyBorder="1"/>
    <xf numFmtId="0" fontId="5" fillId="18" borderId="6" xfId="0" applyFont="1" applyFill="1" applyBorder="1" applyAlignment="1">
      <alignment horizontal="center" vertical="center" wrapText="1"/>
    </xf>
    <xf numFmtId="0" fontId="5" fillId="18" borderId="31" xfId="0" applyFont="1" applyFill="1" applyBorder="1" applyAlignment="1">
      <alignment horizontal="center" vertical="center" wrapText="1"/>
    </xf>
    <xf numFmtId="0" fontId="5" fillId="18" borderId="35" xfId="0" applyFont="1" applyFill="1" applyBorder="1" applyAlignment="1">
      <alignment horizontal="center" vertical="center" wrapText="1"/>
    </xf>
    <xf numFmtId="0" fontId="0" fillId="19" borderId="0" xfId="0" applyFill="1" applyAlignment="1">
      <alignment horizontal="center" vertical="center"/>
    </xf>
    <xf numFmtId="0" fontId="8" fillId="9" borderId="17" xfId="0" applyFont="1" applyFill="1" applyBorder="1" applyAlignment="1">
      <alignment horizontal="center" vertical="center"/>
    </xf>
    <xf numFmtId="0" fontId="7" fillId="9" borderId="26" xfId="0" applyFont="1" applyFill="1" applyBorder="1" applyAlignment="1">
      <alignment horizontal="center" vertical="center"/>
    </xf>
    <xf numFmtId="0" fontId="0" fillId="2" borderId="0" xfId="0" applyFill="1"/>
    <xf numFmtId="0" fontId="0" fillId="2" borderId="0" xfId="0" applyFill="1" applyAlignment="1">
      <alignment horizontal="center" vertical="center" wrapText="1"/>
    </xf>
    <xf numFmtId="0" fontId="0" fillId="0" borderId="1" xfId="0" applyBorder="1" applyAlignment="1">
      <alignment wrapText="1"/>
    </xf>
    <xf numFmtId="16" fontId="0" fillId="0" borderId="0" xfId="0" applyNumberFormat="1" applyAlignment="1">
      <alignment vertical="top"/>
    </xf>
    <xf numFmtId="0" fontId="14" fillId="15" borderId="40" xfId="0" applyFont="1" applyFill="1" applyBorder="1" applyAlignment="1">
      <alignment horizontal="center" vertical="center"/>
    </xf>
    <xf numFmtId="0" fontId="14" fillId="13" borderId="40" xfId="0" applyFont="1" applyFill="1" applyBorder="1" applyAlignment="1">
      <alignment horizontal="center" vertical="center"/>
    </xf>
    <xf numFmtId="0" fontId="14" fillId="15" borderId="41" xfId="0" applyFont="1" applyFill="1" applyBorder="1" applyAlignment="1">
      <alignment horizontal="center" vertical="center"/>
    </xf>
    <xf numFmtId="0" fontId="0" fillId="0" borderId="0" xfId="0" applyAlignment="1">
      <alignment vertical="top" wrapText="1"/>
    </xf>
    <xf numFmtId="0" fontId="0" fillId="0" borderId="0" xfId="0" applyAlignment="1">
      <alignment wrapText="1"/>
    </xf>
    <xf numFmtId="0" fontId="5" fillId="15" borderId="40" xfId="0" applyFont="1" applyFill="1" applyBorder="1" applyAlignment="1">
      <alignment horizontal="center" vertical="center"/>
    </xf>
    <xf numFmtId="0" fontId="5" fillId="15" borderId="42" xfId="0" applyFont="1" applyFill="1" applyBorder="1" applyAlignment="1">
      <alignment horizontal="center" vertical="center" wrapText="1"/>
    </xf>
    <xf numFmtId="16" fontId="0" fillId="0" borderId="0" xfId="0" applyNumberFormat="1" applyAlignment="1">
      <alignment horizontal="center" vertical="top"/>
    </xf>
    <xf numFmtId="16" fontId="0" fillId="0" borderId="0" xfId="0" applyNumberFormat="1" applyAlignment="1">
      <alignment vertical="top" wrapText="1"/>
    </xf>
    <xf numFmtId="0" fontId="0" fillId="0" borderId="40" xfId="0" applyBorder="1" applyAlignment="1">
      <alignment vertical="top"/>
    </xf>
    <xf numFmtId="0" fontId="0" fillId="0" borderId="40" xfId="0" applyBorder="1" applyAlignment="1">
      <alignment vertical="top" wrapText="1"/>
    </xf>
    <xf numFmtId="0" fontId="0" fillId="7" borderId="40" xfId="0" applyFill="1" applyBorder="1" applyAlignment="1">
      <alignment vertical="top"/>
    </xf>
    <xf numFmtId="0" fontId="0" fillId="7" borderId="40" xfId="0" applyFill="1" applyBorder="1" applyAlignment="1">
      <alignment vertical="top" wrapText="1"/>
    </xf>
    <xf numFmtId="0" fontId="5" fillId="7" borderId="40" xfId="0" applyFont="1" applyFill="1" applyBorder="1" applyAlignment="1">
      <alignment horizontal="center" vertical="center" wrapText="1"/>
    </xf>
    <xf numFmtId="0" fontId="14" fillId="7" borderId="40" xfId="0" applyFont="1" applyFill="1" applyBorder="1" applyAlignment="1">
      <alignment horizontal="center" vertical="center"/>
    </xf>
    <xf numFmtId="0" fontId="5" fillId="7" borderId="40" xfId="0" applyFont="1" applyFill="1" applyBorder="1" applyAlignment="1">
      <alignment horizontal="center" vertical="center"/>
    </xf>
    <xf numFmtId="0" fontId="1" fillId="4" borderId="38" xfId="0" applyFont="1" applyFill="1" applyBorder="1" applyAlignment="1">
      <alignment horizontal="center" vertical="top"/>
    </xf>
    <xf numFmtId="0" fontId="0" fillId="0" borderId="39" xfId="0" applyBorder="1" applyAlignment="1">
      <alignment vertical="top"/>
    </xf>
    <xf numFmtId="0" fontId="13" fillId="2" borderId="40" xfId="0" applyFont="1" applyFill="1" applyBorder="1" applyAlignment="1">
      <alignment horizontal="center" vertical="center"/>
    </xf>
    <xf numFmtId="0" fontId="1" fillId="3" borderId="40" xfId="0" applyFont="1" applyFill="1" applyBorder="1" applyAlignment="1">
      <alignment horizontal="right" vertical="top"/>
    </xf>
    <xf numFmtId="0" fontId="1" fillId="4" borderId="40" xfId="0" applyFont="1" applyFill="1" applyBorder="1" applyAlignment="1">
      <alignment horizontal="left" vertical="center"/>
    </xf>
    <xf numFmtId="0" fontId="1" fillId="4" borderId="40" xfId="0" applyFont="1" applyFill="1" applyBorder="1" applyAlignment="1">
      <alignment horizontal="center" vertical="top"/>
    </xf>
    <xf numFmtId="16" fontId="0" fillId="0" borderId="40" xfId="0" applyNumberFormat="1" applyBorder="1" applyAlignment="1">
      <alignment horizontal="center" vertical="top"/>
    </xf>
    <xf numFmtId="16" fontId="0" fillId="7" borderId="40" xfId="0" applyNumberFormat="1" applyFill="1" applyBorder="1" applyAlignment="1">
      <alignment horizontal="center" vertical="top"/>
    </xf>
    <xf numFmtId="0" fontId="0" fillId="7" borderId="40" xfId="0" applyFill="1" applyBorder="1" applyAlignment="1">
      <alignment horizontal="center" vertical="top"/>
    </xf>
    <xf numFmtId="0" fontId="0" fillId="0" borderId="38" xfId="0" applyBorder="1" applyAlignment="1">
      <alignment vertical="top"/>
    </xf>
    <xf numFmtId="0" fontId="10" fillId="0" borderId="0" xfId="0" applyFont="1" applyAlignment="1">
      <alignment vertical="center" wrapText="1"/>
    </xf>
    <xf numFmtId="0" fontId="6" fillId="0" borderId="0" xfId="0" applyFont="1" applyAlignment="1">
      <alignment horizontal="center" vertical="center"/>
    </xf>
    <xf numFmtId="0" fontId="7" fillId="0" borderId="0" xfId="0" applyFont="1" applyAlignment="1">
      <alignment horizontal="center" vertical="center"/>
    </xf>
    <xf numFmtId="0" fontId="6" fillId="0" borderId="19" xfId="0" applyFont="1" applyBorder="1" applyAlignment="1">
      <alignment horizontal="right" vertical="center"/>
    </xf>
    <xf numFmtId="0" fontId="0" fillId="0" borderId="38" xfId="0" applyBorder="1" applyAlignment="1">
      <alignment vertical="top" wrapText="1"/>
    </xf>
    <xf numFmtId="0" fontId="12" fillId="8" borderId="40" xfId="0" applyFont="1" applyFill="1" applyBorder="1" applyAlignment="1">
      <alignment horizontal="center" vertical="center" wrapText="1" readingOrder="1"/>
    </xf>
    <xf numFmtId="0" fontId="0" fillId="0" borderId="29" xfId="0" applyBorder="1" applyAlignment="1">
      <alignment horizontal="center" vertical="top"/>
    </xf>
    <xf numFmtId="0" fontId="0" fillId="0" borderId="30" xfId="0" applyBorder="1" applyAlignment="1">
      <alignment horizontal="center" vertical="top"/>
    </xf>
    <xf numFmtId="0" fontId="5" fillId="18" borderId="27" xfId="0" applyFont="1" applyFill="1" applyBorder="1" applyAlignment="1">
      <alignment horizontal="center" vertical="center" wrapText="1"/>
    </xf>
    <xf numFmtId="0" fontId="5" fillId="18" borderId="28" xfId="0" applyFont="1" applyFill="1" applyBorder="1" applyAlignment="1">
      <alignment horizontal="center" vertical="center" wrapText="1"/>
    </xf>
    <xf numFmtId="0" fontId="5" fillId="18" borderId="7" xfId="0" applyFont="1" applyFill="1" applyBorder="1" applyAlignment="1">
      <alignment horizontal="center" vertical="center" wrapText="1"/>
    </xf>
    <xf numFmtId="0" fontId="5" fillId="18" borderId="6" xfId="0" applyFont="1" applyFill="1" applyBorder="1" applyAlignment="1">
      <alignment horizontal="center" vertical="center" wrapText="1"/>
    </xf>
    <xf numFmtId="0" fontId="5" fillId="18" borderId="8" xfId="0" applyFont="1" applyFill="1" applyBorder="1" applyAlignment="1">
      <alignment horizontal="center" vertical="center" wrapText="1"/>
    </xf>
    <xf numFmtId="1" fontId="1" fillId="3" borderId="2" xfId="0" applyNumberFormat="1" applyFont="1" applyFill="1" applyBorder="1" applyAlignment="1">
      <alignment horizontal="center" vertical="top"/>
    </xf>
    <xf numFmtId="0" fontId="12" fillId="8" borderId="9" xfId="0" applyFont="1" applyFill="1" applyBorder="1" applyAlignment="1">
      <alignment horizontal="center" vertical="center" wrapText="1" readingOrder="1"/>
    </xf>
    <xf numFmtId="0" fontId="12" fillId="8" borderId="3" xfId="0" applyFont="1" applyFill="1" applyBorder="1" applyAlignment="1">
      <alignment horizontal="center" vertical="center" wrapText="1" readingOrder="1"/>
    </xf>
    <xf numFmtId="0" fontId="12" fillId="8" borderId="0" xfId="0" applyFont="1" applyFill="1" applyAlignment="1">
      <alignment horizontal="center" vertical="center" wrapText="1" readingOrder="1"/>
    </xf>
    <xf numFmtId="0" fontId="1" fillId="3" borderId="2" xfId="0" applyFont="1" applyFill="1" applyBorder="1" applyAlignment="1">
      <alignment horizontal="center" vertical="top"/>
    </xf>
    <xf numFmtId="0" fontId="12" fillId="8" borderId="10" xfId="0" applyFont="1" applyFill="1" applyBorder="1" applyAlignment="1">
      <alignment horizontal="center" vertical="center" wrapText="1" readingOrder="1"/>
    </xf>
    <xf numFmtId="0" fontId="12" fillId="8" borderId="11" xfId="0" applyFont="1" applyFill="1" applyBorder="1" applyAlignment="1">
      <alignment horizontal="center" vertical="center" wrapText="1" readingOrder="1"/>
    </xf>
    <xf numFmtId="0" fontId="15" fillId="20" borderId="40" xfId="0" applyFont="1" applyFill="1" applyBorder="1" applyAlignment="1">
      <alignment horizontal="center" vertical="center" wrapText="1"/>
    </xf>
    <xf numFmtId="0" fontId="5" fillId="18" borderId="40" xfId="0" applyFont="1" applyFill="1" applyBorder="1" applyAlignment="1">
      <alignment horizontal="center" vertical="center" wrapText="1"/>
    </xf>
    <xf numFmtId="0" fontId="5" fillId="18" borderId="42" xfId="0" applyFont="1" applyFill="1" applyBorder="1" applyAlignment="1">
      <alignment horizontal="center" vertical="center" wrapText="1"/>
    </xf>
    <xf numFmtId="0" fontId="5" fillId="18" borderId="46" xfId="0" applyFont="1" applyFill="1" applyBorder="1" applyAlignment="1">
      <alignment horizontal="center" vertical="center" wrapText="1"/>
    </xf>
    <xf numFmtId="0" fontId="5" fillId="18" borderId="41" xfId="0" applyFont="1" applyFill="1" applyBorder="1" applyAlignment="1">
      <alignment horizontal="center" vertical="center" wrapText="1"/>
    </xf>
    <xf numFmtId="0" fontId="5" fillId="18" borderId="1" xfId="0" applyFont="1" applyFill="1" applyBorder="1" applyAlignment="1">
      <alignment horizontal="center" vertical="center" wrapText="1"/>
    </xf>
    <xf numFmtId="0" fontId="16" fillId="20" borderId="39" xfId="0" applyFont="1" applyFill="1" applyBorder="1" applyAlignment="1">
      <alignment horizontal="center" vertical="center" wrapText="1"/>
    </xf>
    <xf numFmtId="0" fontId="5" fillId="18" borderId="48" xfId="0" applyFont="1" applyFill="1" applyBorder="1" applyAlignment="1">
      <alignment horizontal="center" vertical="center" wrapText="1"/>
    </xf>
    <xf numFmtId="0" fontId="5" fillId="21" borderId="40" xfId="0" applyFont="1" applyFill="1" applyBorder="1" applyAlignment="1">
      <alignment horizontal="center" vertical="center" wrapText="1"/>
    </xf>
    <xf numFmtId="0" fontId="5" fillId="18" borderId="47" xfId="0" applyFont="1" applyFill="1" applyBorder="1" applyAlignment="1">
      <alignment horizontal="center" vertical="center" wrapText="1"/>
    </xf>
    <xf numFmtId="0" fontId="16" fillId="18" borderId="40" xfId="0" applyFont="1" applyFill="1" applyBorder="1" applyAlignment="1">
      <alignment horizontal="center" vertical="center" wrapText="1"/>
    </xf>
    <xf numFmtId="0" fontId="16" fillId="20" borderId="38" xfId="0" applyFont="1" applyFill="1" applyBorder="1" applyAlignment="1">
      <alignment horizontal="center" vertical="center" wrapText="1"/>
    </xf>
    <xf numFmtId="0" fontId="16" fillId="20" borderId="51" xfId="0" applyFont="1" applyFill="1" applyBorder="1" applyAlignment="1">
      <alignment horizontal="center" vertical="center" wrapText="1"/>
    </xf>
    <xf numFmtId="0" fontId="12" fillId="8" borderId="43" xfId="0" applyFont="1" applyFill="1" applyBorder="1" applyAlignment="1">
      <alignment horizontal="center" vertical="center" wrapText="1" readingOrder="1"/>
    </xf>
    <xf numFmtId="0" fontId="12" fillId="8" borderId="44" xfId="0" applyFont="1" applyFill="1" applyBorder="1" applyAlignment="1">
      <alignment horizontal="center" vertical="center" wrapText="1" readingOrder="1"/>
    </xf>
    <xf numFmtId="0" fontId="12" fillId="8" borderId="40" xfId="0" applyFont="1" applyFill="1" applyBorder="1" applyAlignment="1">
      <alignment horizontal="center" vertical="center" wrapText="1" readingOrder="1"/>
    </xf>
    <xf numFmtId="0" fontId="12" fillId="8" borderId="42" xfId="0" applyFont="1" applyFill="1" applyBorder="1" applyAlignment="1">
      <alignment horizontal="center" vertical="center" wrapText="1" readingOrder="1"/>
    </xf>
    <xf numFmtId="0" fontId="12" fillId="8" borderId="41" xfId="0" applyFont="1" applyFill="1" applyBorder="1" applyAlignment="1">
      <alignment horizontal="center" vertical="center" wrapText="1" readingOrder="1"/>
    </xf>
    <xf numFmtId="0" fontId="12" fillId="8" borderId="45" xfId="0" applyFont="1" applyFill="1" applyBorder="1" applyAlignment="1">
      <alignment horizontal="center" vertical="center" wrapText="1" readingOrder="1"/>
    </xf>
    <xf numFmtId="0" fontId="12" fillId="8" borderId="49" xfId="0" applyFont="1" applyFill="1" applyBorder="1" applyAlignment="1">
      <alignment horizontal="center" vertical="center" wrapText="1" readingOrder="1"/>
    </xf>
    <xf numFmtId="0" fontId="12" fillId="8" borderId="50" xfId="0" applyFont="1" applyFill="1" applyBorder="1" applyAlignment="1">
      <alignment horizontal="center" vertical="center" wrapText="1" readingOrder="1"/>
    </xf>
    <xf numFmtId="1" fontId="1" fillId="3" borderId="40" xfId="0" applyNumberFormat="1" applyFont="1" applyFill="1" applyBorder="1" applyAlignment="1">
      <alignment horizontal="center" vertical="top" wrapText="1"/>
    </xf>
    <xf numFmtId="1" fontId="1" fillId="3" borderId="40" xfId="0" applyNumberFormat="1" applyFont="1" applyFill="1" applyBorder="1" applyAlignment="1">
      <alignment horizontal="center" vertical="top"/>
    </xf>
    <xf numFmtId="1" fontId="1" fillId="3" borderId="42" xfId="0" applyNumberFormat="1" applyFont="1" applyFill="1" applyBorder="1" applyAlignment="1">
      <alignment horizontal="center" vertical="top"/>
    </xf>
    <xf numFmtId="1" fontId="1" fillId="3" borderId="41" xfId="0" applyNumberFormat="1" applyFont="1" applyFill="1" applyBorder="1" applyAlignment="1">
      <alignment horizontal="center" vertical="top"/>
    </xf>
    <xf numFmtId="0" fontId="12" fillId="8" borderId="52" xfId="0" applyFont="1" applyFill="1" applyBorder="1" applyAlignment="1">
      <alignment horizontal="center" vertical="center" wrapText="1" readingOrder="1"/>
    </xf>
    <xf numFmtId="0" fontId="12" fillId="8" borderId="53" xfId="0" applyFont="1" applyFill="1" applyBorder="1" applyAlignment="1">
      <alignment horizontal="center" vertical="center" wrapText="1" readingOrder="1"/>
    </xf>
    <xf numFmtId="0" fontId="12" fillId="8" borderId="36" xfId="0" applyFont="1" applyFill="1" applyBorder="1" applyAlignment="1">
      <alignment horizontal="center" vertical="center" wrapText="1" readingOrder="1"/>
    </xf>
    <xf numFmtId="0" fontId="12" fillId="8" borderId="37" xfId="0" applyFont="1" applyFill="1" applyBorder="1" applyAlignment="1">
      <alignment horizontal="center" vertical="center" wrapText="1" readingOrder="1"/>
    </xf>
    <xf numFmtId="0" fontId="5" fillId="18" borderId="33" xfId="0" applyFont="1" applyFill="1" applyBorder="1" applyAlignment="1">
      <alignment horizontal="center" vertical="center" wrapText="1"/>
    </xf>
    <xf numFmtId="0" fontId="5" fillId="18" borderId="35" xfId="0" applyFont="1" applyFill="1" applyBorder="1" applyAlignment="1">
      <alignment horizontal="center" vertical="center" wrapText="1"/>
    </xf>
    <xf numFmtId="0" fontId="5" fillId="18" borderId="34" xfId="0" applyFont="1" applyFill="1" applyBorder="1" applyAlignment="1">
      <alignment horizontal="center" vertical="center" wrapText="1"/>
    </xf>
    <xf numFmtId="0" fontId="5" fillId="18" borderId="31" xfId="0" applyFont="1" applyFill="1" applyBorder="1" applyAlignment="1">
      <alignment horizontal="center" vertical="center" wrapText="1"/>
    </xf>
    <xf numFmtId="0" fontId="5" fillId="18" borderId="32" xfId="0" applyFont="1" applyFill="1" applyBorder="1" applyAlignment="1">
      <alignment horizontal="center" vertical="center" wrapText="1"/>
    </xf>
  </cellXfs>
  <cellStyles count="2">
    <cellStyle name="Normal" xfId="0" builtinId="0"/>
    <cellStyle name="Normal 2" xfId="1" xr:uid="{B591B28F-1673-4EBD-9092-A68B5D8D8EF0}"/>
  </cellStyles>
  <dxfs count="592">
    <dxf>
      <fill>
        <patternFill>
          <bgColor theme="0"/>
        </patternFill>
      </fill>
    </dxf>
    <dxf>
      <fill>
        <patternFill>
          <bgColor rgb="FFFF0000"/>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0000"/>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0000"/>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0000"/>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0000"/>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0000"/>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0000"/>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0000"/>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0000"/>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ill>
        <patternFill>
          <bgColor theme="0"/>
        </patternFill>
      </fill>
    </dxf>
    <dxf>
      <fill>
        <patternFill>
          <bgColor rgb="FFFF0000"/>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ill>
        <patternFill>
          <bgColor theme="0"/>
        </patternFill>
      </fill>
    </dxf>
    <dxf>
      <fill>
        <patternFill>
          <bgColor rgb="FFFFFF00"/>
        </patternFill>
      </fill>
    </dxf>
    <dxf>
      <font>
        <color theme="0"/>
      </font>
      <fill>
        <patternFill>
          <bgColor theme="8" tint="-0.24994659260841701"/>
        </patternFill>
      </fill>
    </dxf>
    <dxf>
      <font>
        <color theme="0"/>
      </font>
      <fill>
        <patternFill>
          <bgColor rgb="FFFF0000"/>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FF00"/>
        </patternFill>
      </fill>
    </dxf>
    <dxf>
      <font>
        <color theme="0"/>
      </font>
      <fill>
        <patternFill>
          <bgColor theme="8" tint="-0.24994659260841701"/>
        </patternFill>
      </fill>
    </dxf>
    <dxf>
      <font>
        <color theme="0"/>
      </font>
      <fill>
        <patternFill>
          <bgColor rgb="FFFF0000"/>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0000"/>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0000"/>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0000"/>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0000"/>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FF00"/>
        </patternFill>
      </fill>
    </dxf>
    <dxf>
      <font>
        <color theme="0"/>
      </font>
      <fill>
        <patternFill>
          <bgColor theme="8" tint="-0.24994659260841701"/>
        </patternFill>
      </fill>
    </dxf>
    <dxf>
      <font>
        <color theme="0"/>
      </font>
      <fill>
        <patternFill>
          <bgColor rgb="FFFF0000"/>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0000"/>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0000"/>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0000"/>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0000"/>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FF00"/>
        </patternFill>
      </fill>
    </dxf>
    <dxf>
      <font>
        <color theme="0"/>
      </font>
      <fill>
        <patternFill>
          <bgColor theme="8" tint="-0.24994659260841701"/>
        </patternFill>
      </fill>
    </dxf>
    <dxf>
      <font>
        <color theme="0"/>
      </font>
      <fill>
        <patternFill>
          <bgColor rgb="FFFF0000"/>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0000"/>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FF00"/>
        </patternFill>
      </fill>
    </dxf>
    <dxf>
      <font>
        <color theme="0"/>
      </font>
      <fill>
        <patternFill>
          <bgColor theme="8" tint="-0.24994659260841701"/>
        </patternFill>
      </fill>
    </dxf>
    <dxf>
      <font>
        <color theme="0"/>
      </font>
      <fill>
        <patternFill>
          <bgColor rgb="FFFF0000"/>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0000"/>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FF00"/>
        </patternFill>
      </fill>
    </dxf>
    <dxf>
      <font>
        <color theme="0"/>
      </font>
      <fill>
        <patternFill>
          <bgColor theme="8" tint="-0.24994659260841701"/>
        </patternFill>
      </fill>
    </dxf>
    <dxf>
      <font>
        <color theme="0"/>
      </font>
      <fill>
        <patternFill>
          <bgColor rgb="FFFF0000"/>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FF00"/>
        </patternFill>
      </fill>
    </dxf>
    <dxf>
      <font>
        <color theme="0"/>
      </font>
      <fill>
        <patternFill>
          <bgColor theme="8" tint="-0.24994659260841701"/>
        </patternFill>
      </fill>
    </dxf>
    <dxf>
      <font>
        <color theme="0"/>
      </font>
      <fill>
        <patternFill>
          <bgColor rgb="FFFF0000"/>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FF00"/>
        </patternFill>
      </fill>
    </dxf>
    <dxf>
      <font>
        <color theme="0"/>
      </font>
      <fill>
        <patternFill>
          <bgColor theme="8" tint="-0.24994659260841701"/>
        </patternFill>
      </fill>
    </dxf>
    <dxf>
      <font>
        <color theme="0"/>
      </font>
      <fill>
        <patternFill>
          <bgColor rgb="FFFF0000"/>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0000"/>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0000"/>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FF00"/>
        </patternFill>
      </fill>
    </dxf>
    <dxf>
      <font>
        <color theme="0"/>
      </font>
      <fill>
        <patternFill>
          <bgColor theme="8" tint="-0.24994659260841701"/>
        </patternFill>
      </fill>
    </dxf>
    <dxf>
      <font>
        <color theme="0"/>
      </font>
      <fill>
        <patternFill>
          <bgColor rgb="FFFF0000"/>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0000"/>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FF00"/>
        </patternFill>
      </fill>
    </dxf>
    <dxf>
      <font>
        <color theme="0"/>
      </font>
      <fill>
        <patternFill>
          <bgColor theme="8" tint="-0.24994659260841701"/>
        </patternFill>
      </fill>
    </dxf>
    <dxf>
      <font>
        <color theme="0"/>
      </font>
      <fill>
        <patternFill>
          <bgColor rgb="FFFF0000"/>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FF00"/>
        </patternFill>
      </fill>
    </dxf>
    <dxf>
      <font>
        <color theme="0"/>
      </font>
      <fill>
        <patternFill>
          <bgColor theme="8" tint="-0.24994659260841701"/>
        </patternFill>
      </fill>
    </dxf>
    <dxf>
      <font>
        <color theme="0"/>
      </font>
      <fill>
        <patternFill>
          <bgColor rgb="FFFF0000"/>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FF00"/>
        </patternFill>
      </fill>
    </dxf>
    <dxf>
      <font>
        <color theme="0"/>
      </font>
      <fill>
        <patternFill>
          <bgColor theme="8" tint="-0.24994659260841701"/>
        </patternFill>
      </fill>
    </dxf>
    <dxf>
      <font>
        <color theme="0"/>
      </font>
      <fill>
        <patternFill>
          <bgColor rgb="FFFF0000"/>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0000"/>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0000"/>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FF00"/>
        </patternFill>
      </fill>
    </dxf>
    <dxf>
      <font>
        <color theme="0"/>
      </font>
      <fill>
        <patternFill>
          <bgColor theme="8" tint="-0.24994659260841701"/>
        </patternFill>
      </fill>
    </dxf>
    <dxf>
      <font>
        <color theme="0"/>
      </font>
      <fill>
        <patternFill>
          <bgColor rgb="FFFF0000"/>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0000"/>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FF00"/>
        </patternFill>
      </fill>
    </dxf>
    <dxf>
      <font>
        <color theme="0"/>
      </font>
      <fill>
        <patternFill>
          <bgColor theme="8" tint="-0.24994659260841701"/>
        </patternFill>
      </fill>
    </dxf>
    <dxf>
      <font>
        <color theme="0"/>
      </font>
      <fill>
        <patternFill>
          <bgColor rgb="FFFF0000"/>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0000"/>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0000"/>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0000"/>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FF00"/>
        </patternFill>
      </fill>
    </dxf>
    <dxf>
      <font>
        <color theme="0"/>
      </font>
      <fill>
        <patternFill>
          <bgColor theme="8" tint="-0.24994659260841701"/>
        </patternFill>
      </fill>
    </dxf>
    <dxf>
      <font>
        <color theme="0"/>
      </font>
      <fill>
        <patternFill>
          <bgColor rgb="FFFF0000"/>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FF00"/>
        </patternFill>
      </fill>
    </dxf>
    <dxf>
      <font>
        <color theme="0"/>
      </font>
      <fill>
        <patternFill>
          <bgColor theme="8" tint="-0.24994659260841701"/>
        </patternFill>
      </fill>
    </dxf>
    <dxf>
      <font>
        <color theme="0"/>
      </font>
      <fill>
        <patternFill>
          <bgColor rgb="FFFF0000"/>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0000"/>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FF00"/>
        </patternFill>
      </fill>
    </dxf>
    <dxf>
      <font>
        <color theme="0"/>
      </font>
      <fill>
        <patternFill>
          <bgColor theme="8" tint="-0.24994659260841701"/>
        </patternFill>
      </fill>
    </dxf>
    <dxf>
      <font>
        <color theme="0"/>
      </font>
      <fill>
        <patternFill>
          <bgColor rgb="FFFF0000"/>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0000"/>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0000"/>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FF00"/>
        </patternFill>
      </fill>
    </dxf>
    <dxf>
      <font>
        <color theme="0"/>
      </font>
      <fill>
        <patternFill>
          <bgColor theme="8" tint="-0.24994659260841701"/>
        </patternFill>
      </fill>
    </dxf>
    <dxf>
      <font>
        <color theme="0"/>
      </font>
      <fill>
        <patternFill>
          <bgColor rgb="FFFF0000"/>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0000"/>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ill>
        <patternFill>
          <bgColor theme="0"/>
        </patternFill>
      </fill>
    </dxf>
    <dxf>
      <fill>
        <patternFill>
          <bgColor rgb="FFFF0000"/>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0000"/>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ill>
        <patternFill>
          <bgColor theme="0"/>
        </patternFill>
      </fill>
    </dxf>
    <dxf>
      <fill>
        <patternFill>
          <bgColor rgb="FFFF0000"/>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ill>
        <patternFill>
          <bgColor theme="0"/>
        </patternFill>
      </fill>
    </dxf>
    <dxf>
      <fill>
        <patternFill>
          <bgColor rgb="FFFF0000"/>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0000"/>
        </patternFill>
      </fill>
    </dxf>
    <dxf>
      <font>
        <color theme="0"/>
      </font>
      <fill>
        <patternFill>
          <bgColor theme="8" tint="-0.24994659260841701"/>
        </patternFill>
      </fill>
    </dxf>
    <dxf>
      <font>
        <color theme="0"/>
      </font>
      <fill>
        <patternFill>
          <bgColor theme="9"/>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ill>
        <patternFill>
          <bgColor theme="0"/>
        </patternFill>
      </fill>
    </dxf>
    <dxf>
      <fill>
        <patternFill>
          <bgColor rgb="FFFFFF00"/>
        </patternFill>
      </fill>
    </dxf>
    <dxf>
      <font>
        <color theme="0"/>
      </font>
      <fill>
        <patternFill>
          <bgColor theme="8" tint="-0.24994659260841701"/>
        </patternFill>
      </fill>
    </dxf>
    <dxf>
      <font>
        <color theme="0"/>
      </font>
      <fill>
        <patternFill>
          <bgColor rgb="FFFF0000"/>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FF00"/>
        </patternFill>
      </fill>
    </dxf>
    <dxf>
      <font>
        <color theme="0"/>
      </font>
      <fill>
        <patternFill>
          <bgColor theme="8" tint="-0.24994659260841701"/>
        </patternFill>
      </fill>
    </dxf>
    <dxf>
      <font>
        <color theme="0"/>
      </font>
      <fill>
        <patternFill>
          <bgColor rgb="FFFF0000"/>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FF00"/>
        </patternFill>
      </fill>
    </dxf>
    <dxf>
      <font>
        <color theme="0"/>
      </font>
      <fill>
        <patternFill>
          <bgColor theme="8" tint="-0.24994659260841701"/>
        </patternFill>
      </fill>
    </dxf>
    <dxf>
      <font>
        <color theme="0"/>
      </font>
      <fill>
        <patternFill>
          <bgColor rgb="FFFF0000"/>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FF00"/>
        </patternFill>
      </fill>
    </dxf>
    <dxf>
      <font>
        <color theme="0"/>
      </font>
      <fill>
        <patternFill>
          <bgColor theme="8" tint="-0.24994659260841701"/>
        </patternFill>
      </fill>
    </dxf>
    <dxf>
      <font>
        <color theme="0"/>
      </font>
      <fill>
        <patternFill>
          <bgColor rgb="FFFF0000"/>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FF00"/>
        </patternFill>
      </fill>
    </dxf>
    <dxf>
      <font>
        <color theme="0"/>
      </font>
      <fill>
        <patternFill>
          <bgColor theme="8" tint="-0.24994659260841701"/>
        </patternFill>
      </fill>
    </dxf>
    <dxf>
      <font>
        <color theme="0"/>
      </font>
      <fill>
        <patternFill>
          <bgColor rgb="FFFF0000"/>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FF00"/>
        </patternFill>
      </fill>
    </dxf>
    <dxf>
      <font>
        <color theme="0"/>
      </font>
      <fill>
        <patternFill>
          <bgColor theme="8" tint="-0.24994659260841701"/>
        </patternFill>
      </fill>
    </dxf>
    <dxf>
      <font>
        <color theme="0"/>
      </font>
      <fill>
        <patternFill>
          <bgColor rgb="FFFF0000"/>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FF00"/>
        </patternFill>
      </fill>
    </dxf>
    <dxf>
      <font>
        <color theme="0"/>
      </font>
      <fill>
        <patternFill>
          <bgColor theme="8" tint="-0.24994659260841701"/>
        </patternFill>
      </fill>
    </dxf>
    <dxf>
      <font>
        <color theme="0"/>
      </font>
      <fill>
        <patternFill>
          <bgColor rgb="FFFF0000"/>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theme="0"/>
      </font>
      <fill>
        <patternFill>
          <bgColor theme="9"/>
        </patternFill>
      </fill>
    </dxf>
    <dxf>
      <fill>
        <patternFill>
          <bgColor theme="0"/>
        </patternFill>
      </fill>
    </dxf>
    <dxf>
      <fill>
        <patternFill>
          <bgColor rgb="FFFFFF00"/>
        </patternFill>
      </fill>
    </dxf>
    <dxf>
      <font>
        <color theme="0"/>
      </font>
      <fill>
        <patternFill>
          <bgColor theme="8" tint="-0.24994659260841701"/>
        </patternFill>
      </fill>
    </dxf>
    <dxf>
      <font>
        <color theme="0"/>
      </font>
      <fill>
        <patternFill>
          <bgColor rgb="FFFF0000"/>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ill>
        <patternFill>
          <bgColor theme="0"/>
        </patternFill>
      </fill>
    </dxf>
    <dxf>
      <fill>
        <patternFill>
          <bgColor rgb="FFFFFF00"/>
        </patternFill>
      </fill>
    </dxf>
    <dxf>
      <font>
        <color theme="0"/>
      </font>
      <fill>
        <patternFill>
          <bgColor theme="8" tint="-0.24994659260841701"/>
        </patternFill>
      </fill>
    </dxf>
    <dxf>
      <font>
        <color theme="0"/>
      </font>
      <fill>
        <patternFill>
          <bgColor rgb="FFFF0000"/>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ill>
        <patternFill>
          <bgColor theme="0"/>
        </patternFill>
      </fill>
    </dxf>
    <dxf>
      <fill>
        <patternFill>
          <bgColor rgb="FFFFFF00"/>
        </patternFill>
      </fill>
    </dxf>
    <dxf>
      <font>
        <color theme="0"/>
      </font>
      <fill>
        <patternFill>
          <bgColor theme="8" tint="-0.24994659260841701"/>
        </patternFill>
      </fill>
    </dxf>
    <dxf>
      <font>
        <color theme="0"/>
      </font>
      <fill>
        <patternFill>
          <bgColor rgb="FFFF0000"/>
        </patternFill>
      </fill>
    </dxf>
    <dxf>
      <font>
        <color auto="1"/>
      </font>
      <fill>
        <patternFill>
          <bgColor theme="6" tint="0.39994506668294322"/>
        </patternFill>
      </fill>
    </dxf>
    <dxf>
      <font>
        <color theme="0"/>
      </font>
      <fill>
        <patternFill>
          <bgColor rgb="FFFF0000"/>
        </patternFill>
      </fill>
    </dxf>
    <dxf>
      <fill>
        <patternFill patternType="none">
          <bgColor auto="1"/>
        </patternFill>
      </fill>
    </dxf>
    <dxf>
      <font>
        <color theme="0"/>
      </font>
      <fill>
        <patternFill>
          <bgColor theme="8" tint="-0.24994659260841701"/>
        </patternFill>
      </fill>
    </dxf>
    <dxf>
      <font>
        <color auto="1"/>
      </font>
      <fill>
        <patternFill>
          <bgColor theme="6" tint="0.39994506668294322"/>
        </patternFill>
      </fill>
    </dxf>
  </dxfs>
  <tableStyles count="0" defaultTableStyle="TableStyleMedium2" defaultPivotStyle="PivotStyleLight16"/>
  <colors>
    <mruColors>
      <color rgb="FF2E1A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9</xdr:col>
      <xdr:colOff>209550</xdr:colOff>
      <xdr:row>4</xdr:row>
      <xdr:rowOff>762000</xdr:rowOff>
    </xdr:from>
    <xdr:to>
      <xdr:col>9</xdr:col>
      <xdr:colOff>523875</xdr:colOff>
      <xdr:row>5</xdr:row>
      <xdr:rowOff>0</xdr:rowOff>
    </xdr:to>
    <xdr:sp macro="" textlink="">
      <xdr:nvSpPr>
        <xdr:cNvPr id="2" name="Star: 4 Points 1">
          <a:extLst>
            <a:ext uri="{FF2B5EF4-FFF2-40B4-BE49-F238E27FC236}">
              <a16:creationId xmlns:a16="http://schemas.microsoft.com/office/drawing/2014/main" id="{331532F2-0FB8-B8D7-75FA-63D0687A853F}"/>
            </a:ext>
          </a:extLst>
        </xdr:cNvPr>
        <xdr:cNvSpPr/>
      </xdr:nvSpPr>
      <xdr:spPr>
        <a:xfrm>
          <a:off x="6762750" y="1343025"/>
          <a:ext cx="314325" cy="323850"/>
        </a:xfrm>
        <a:prstGeom prst="star4">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257175</xdr:colOff>
      <xdr:row>4</xdr:row>
      <xdr:rowOff>781050</xdr:rowOff>
    </xdr:from>
    <xdr:to>
      <xdr:col>16</xdr:col>
      <xdr:colOff>66675</xdr:colOff>
      <xdr:row>5</xdr:row>
      <xdr:rowOff>19050</xdr:rowOff>
    </xdr:to>
    <xdr:sp macro="" textlink="">
      <xdr:nvSpPr>
        <xdr:cNvPr id="3" name="Star: 4 Points 2">
          <a:extLst>
            <a:ext uri="{FF2B5EF4-FFF2-40B4-BE49-F238E27FC236}">
              <a16:creationId xmlns:a16="http://schemas.microsoft.com/office/drawing/2014/main" id="{9603EBD5-E224-4862-9DA6-AACBEA4A95DD}"/>
            </a:ext>
          </a:extLst>
        </xdr:cNvPr>
        <xdr:cNvSpPr/>
      </xdr:nvSpPr>
      <xdr:spPr>
        <a:xfrm>
          <a:off x="8829675" y="1362075"/>
          <a:ext cx="314325" cy="323850"/>
        </a:xfrm>
        <a:prstGeom prst="star4">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314325</xdr:colOff>
      <xdr:row>4</xdr:row>
      <xdr:rowOff>733425</xdr:rowOff>
    </xdr:from>
    <xdr:to>
      <xdr:col>21</xdr:col>
      <xdr:colOff>628650</xdr:colOff>
      <xdr:row>4</xdr:row>
      <xdr:rowOff>1057275</xdr:rowOff>
    </xdr:to>
    <xdr:sp macro="" textlink="">
      <xdr:nvSpPr>
        <xdr:cNvPr id="4" name="Star: 4 Points 3">
          <a:extLst>
            <a:ext uri="{FF2B5EF4-FFF2-40B4-BE49-F238E27FC236}">
              <a16:creationId xmlns:a16="http://schemas.microsoft.com/office/drawing/2014/main" id="{7E540A94-4A7E-4886-80FB-F876EBEE42F3}"/>
            </a:ext>
          </a:extLst>
        </xdr:cNvPr>
        <xdr:cNvSpPr/>
      </xdr:nvSpPr>
      <xdr:spPr>
        <a:xfrm>
          <a:off x="11087100" y="1314450"/>
          <a:ext cx="314325" cy="323850"/>
        </a:xfrm>
        <a:prstGeom prst="star4">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171450</xdr:colOff>
      <xdr:row>4</xdr:row>
      <xdr:rowOff>742950</xdr:rowOff>
    </xdr:from>
    <xdr:to>
      <xdr:col>30</xdr:col>
      <xdr:colOff>0</xdr:colOff>
      <xdr:row>4</xdr:row>
      <xdr:rowOff>1066800</xdr:rowOff>
    </xdr:to>
    <xdr:sp macro="" textlink="">
      <xdr:nvSpPr>
        <xdr:cNvPr id="5" name="Star: 4 Points 4">
          <a:extLst>
            <a:ext uri="{FF2B5EF4-FFF2-40B4-BE49-F238E27FC236}">
              <a16:creationId xmlns:a16="http://schemas.microsoft.com/office/drawing/2014/main" id="{BC299250-96B6-4CDE-AB69-BA01307AD1B5}"/>
            </a:ext>
          </a:extLst>
        </xdr:cNvPr>
        <xdr:cNvSpPr/>
      </xdr:nvSpPr>
      <xdr:spPr>
        <a:xfrm>
          <a:off x="13877925" y="1323975"/>
          <a:ext cx="314325" cy="323850"/>
        </a:xfrm>
        <a:prstGeom prst="star4">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39</xdr:col>
      <xdr:colOff>457200</xdr:colOff>
      <xdr:row>4</xdr:row>
      <xdr:rowOff>733425</xdr:rowOff>
    </xdr:from>
    <xdr:to>
      <xdr:col>39</xdr:col>
      <xdr:colOff>771525</xdr:colOff>
      <xdr:row>4</xdr:row>
      <xdr:rowOff>1057275</xdr:rowOff>
    </xdr:to>
    <xdr:sp macro="" textlink="">
      <xdr:nvSpPr>
        <xdr:cNvPr id="6" name="Star: 4 Points 5">
          <a:extLst>
            <a:ext uri="{FF2B5EF4-FFF2-40B4-BE49-F238E27FC236}">
              <a16:creationId xmlns:a16="http://schemas.microsoft.com/office/drawing/2014/main" id="{625A3072-30D5-4358-8F84-D9086FA59A8E}"/>
            </a:ext>
          </a:extLst>
        </xdr:cNvPr>
        <xdr:cNvSpPr/>
      </xdr:nvSpPr>
      <xdr:spPr>
        <a:xfrm>
          <a:off x="22078950" y="1419225"/>
          <a:ext cx="314325" cy="323850"/>
        </a:xfrm>
        <a:prstGeom prst="star4">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45</xdr:col>
      <xdr:colOff>333375</xdr:colOff>
      <xdr:row>4</xdr:row>
      <xdr:rowOff>809625</xdr:rowOff>
    </xdr:from>
    <xdr:to>
      <xdr:col>47</xdr:col>
      <xdr:colOff>0</xdr:colOff>
      <xdr:row>5</xdr:row>
      <xdr:rowOff>47625</xdr:rowOff>
    </xdr:to>
    <xdr:sp macro="" textlink="">
      <xdr:nvSpPr>
        <xdr:cNvPr id="7" name="Star: 4 Points 6">
          <a:extLst>
            <a:ext uri="{FF2B5EF4-FFF2-40B4-BE49-F238E27FC236}">
              <a16:creationId xmlns:a16="http://schemas.microsoft.com/office/drawing/2014/main" id="{7A277A34-42A8-4920-A872-0ABAD34599B5}"/>
            </a:ext>
          </a:extLst>
        </xdr:cNvPr>
        <xdr:cNvSpPr/>
      </xdr:nvSpPr>
      <xdr:spPr>
        <a:xfrm>
          <a:off x="19869150" y="1390650"/>
          <a:ext cx="314325" cy="323850"/>
        </a:xfrm>
        <a:prstGeom prst="star4">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47</xdr:col>
      <xdr:colOff>219075</xdr:colOff>
      <xdr:row>4</xdr:row>
      <xdr:rowOff>800100</xdr:rowOff>
    </xdr:from>
    <xdr:to>
      <xdr:col>48</xdr:col>
      <xdr:colOff>28575</xdr:colOff>
      <xdr:row>5</xdr:row>
      <xdr:rowOff>38100</xdr:rowOff>
    </xdr:to>
    <xdr:sp macro="" textlink="">
      <xdr:nvSpPr>
        <xdr:cNvPr id="8" name="Star: 4 Points 7">
          <a:extLst>
            <a:ext uri="{FF2B5EF4-FFF2-40B4-BE49-F238E27FC236}">
              <a16:creationId xmlns:a16="http://schemas.microsoft.com/office/drawing/2014/main" id="{B48EB403-70F4-4B3C-BB9B-9B07EAC26C50}"/>
            </a:ext>
          </a:extLst>
        </xdr:cNvPr>
        <xdr:cNvSpPr/>
      </xdr:nvSpPr>
      <xdr:spPr>
        <a:xfrm>
          <a:off x="21031200" y="1381125"/>
          <a:ext cx="314325" cy="323850"/>
        </a:xfrm>
        <a:prstGeom prst="star4">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59</xdr:col>
      <xdr:colOff>238125</xdr:colOff>
      <xdr:row>4</xdr:row>
      <xdr:rowOff>828675</xdr:rowOff>
    </xdr:from>
    <xdr:to>
      <xdr:col>59</xdr:col>
      <xdr:colOff>552450</xdr:colOff>
      <xdr:row>5</xdr:row>
      <xdr:rowOff>66675</xdr:rowOff>
    </xdr:to>
    <xdr:sp macro="" textlink="">
      <xdr:nvSpPr>
        <xdr:cNvPr id="9" name="Star: 4 Points 8">
          <a:extLst>
            <a:ext uri="{FF2B5EF4-FFF2-40B4-BE49-F238E27FC236}">
              <a16:creationId xmlns:a16="http://schemas.microsoft.com/office/drawing/2014/main" id="{2F1D8E4F-7D73-4C32-BD69-01BE58EA2757}"/>
            </a:ext>
          </a:extLst>
        </xdr:cNvPr>
        <xdr:cNvSpPr/>
      </xdr:nvSpPr>
      <xdr:spPr>
        <a:xfrm>
          <a:off x="24993600" y="1409700"/>
          <a:ext cx="314325" cy="323850"/>
        </a:xfrm>
        <a:prstGeom prst="star4">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65</xdr:col>
      <xdr:colOff>171450</xdr:colOff>
      <xdr:row>4</xdr:row>
      <xdr:rowOff>762000</xdr:rowOff>
    </xdr:from>
    <xdr:to>
      <xdr:col>65</xdr:col>
      <xdr:colOff>485775</xdr:colOff>
      <xdr:row>5</xdr:row>
      <xdr:rowOff>0</xdr:rowOff>
    </xdr:to>
    <xdr:sp macro="" textlink="">
      <xdr:nvSpPr>
        <xdr:cNvPr id="10" name="Star: 4 Points 9">
          <a:extLst>
            <a:ext uri="{FF2B5EF4-FFF2-40B4-BE49-F238E27FC236}">
              <a16:creationId xmlns:a16="http://schemas.microsoft.com/office/drawing/2014/main" id="{9A07EB19-6C7A-4BC8-B054-2818DB2B4A7F}"/>
            </a:ext>
          </a:extLst>
        </xdr:cNvPr>
        <xdr:cNvSpPr/>
      </xdr:nvSpPr>
      <xdr:spPr>
        <a:xfrm>
          <a:off x="26955750" y="1343025"/>
          <a:ext cx="314325" cy="323850"/>
        </a:xfrm>
        <a:prstGeom prst="star4">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66675</xdr:colOff>
      <xdr:row>2</xdr:row>
      <xdr:rowOff>285750</xdr:rowOff>
    </xdr:from>
    <xdr:to>
      <xdr:col>1</xdr:col>
      <xdr:colOff>1066800</xdr:colOff>
      <xdr:row>4</xdr:row>
      <xdr:rowOff>400050</xdr:rowOff>
    </xdr:to>
    <xdr:sp macro="" textlink="">
      <xdr:nvSpPr>
        <xdr:cNvPr id="14" name="Rectangle 13">
          <a:extLst>
            <a:ext uri="{FF2B5EF4-FFF2-40B4-BE49-F238E27FC236}">
              <a16:creationId xmlns:a16="http://schemas.microsoft.com/office/drawing/2014/main" id="{DBBDEDFC-AC17-4C58-BF2C-ADAEF4B7CCDE}"/>
            </a:ext>
          </a:extLst>
        </xdr:cNvPr>
        <xdr:cNvSpPr/>
      </xdr:nvSpPr>
      <xdr:spPr>
        <a:xfrm>
          <a:off x="66675" y="590550"/>
          <a:ext cx="1095375" cy="4953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4</xdr:row>
      <xdr:rowOff>0</xdr:rowOff>
    </xdr:from>
    <xdr:to>
      <xdr:col>1</xdr:col>
      <xdr:colOff>314325</xdr:colOff>
      <xdr:row>4</xdr:row>
      <xdr:rowOff>323850</xdr:rowOff>
    </xdr:to>
    <xdr:sp macro="" textlink="">
      <xdr:nvSpPr>
        <xdr:cNvPr id="15" name="Star: 4 Points 14">
          <a:extLst>
            <a:ext uri="{FF2B5EF4-FFF2-40B4-BE49-F238E27FC236}">
              <a16:creationId xmlns:a16="http://schemas.microsoft.com/office/drawing/2014/main" id="{B1A3EECA-F419-4BD1-8853-7E067E0B57D9}"/>
            </a:ext>
          </a:extLst>
        </xdr:cNvPr>
        <xdr:cNvSpPr/>
      </xdr:nvSpPr>
      <xdr:spPr>
        <a:xfrm>
          <a:off x="95250" y="685800"/>
          <a:ext cx="314325" cy="323850"/>
        </a:xfrm>
        <a:prstGeom prst="star4">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323850</xdr:colOff>
      <xdr:row>3</xdr:row>
      <xdr:rowOff>66675</xdr:rowOff>
    </xdr:from>
    <xdr:to>
      <xdr:col>1</xdr:col>
      <xdr:colOff>1000125</xdr:colOff>
      <xdr:row>4</xdr:row>
      <xdr:rowOff>304800</xdr:rowOff>
    </xdr:to>
    <xdr:sp macro="" textlink="">
      <xdr:nvSpPr>
        <xdr:cNvPr id="16" name="TextBox 15">
          <a:extLst>
            <a:ext uri="{FF2B5EF4-FFF2-40B4-BE49-F238E27FC236}">
              <a16:creationId xmlns:a16="http://schemas.microsoft.com/office/drawing/2014/main" id="{638278B4-32AA-4251-BF64-FBEDBBD2FF11}"/>
            </a:ext>
          </a:extLst>
        </xdr:cNvPr>
        <xdr:cNvSpPr txBox="1"/>
      </xdr:nvSpPr>
      <xdr:spPr>
        <a:xfrm>
          <a:off x="419100" y="676275"/>
          <a:ext cx="676275" cy="314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t>Milestone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23</xdr:col>
      <xdr:colOff>0</xdr:colOff>
      <xdr:row>4</xdr:row>
      <xdr:rowOff>800100</xdr:rowOff>
    </xdr:from>
    <xdr:to>
      <xdr:col>23</xdr:col>
      <xdr:colOff>0</xdr:colOff>
      <xdr:row>5</xdr:row>
      <xdr:rowOff>38100</xdr:rowOff>
    </xdr:to>
    <xdr:sp macro="" textlink="">
      <xdr:nvSpPr>
        <xdr:cNvPr id="2" name="Star: 4 Points 1">
          <a:extLst>
            <a:ext uri="{FF2B5EF4-FFF2-40B4-BE49-F238E27FC236}">
              <a16:creationId xmlns:a16="http://schemas.microsoft.com/office/drawing/2014/main" id="{BB73E5CB-523D-4570-A7ED-8001D3FE32A2}"/>
            </a:ext>
          </a:extLst>
        </xdr:cNvPr>
        <xdr:cNvSpPr/>
      </xdr:nvSpPr>
      <xdr:spPr>
        <a:xfrm>
          <a:off x="12084050" y="2489200"/>
          <a:ext cx="0" cy="323850"/>
        </a:xfrm>
        <a:prstGeom prst="star4">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66675</xdr:colOff>
      <xdr:row>2</xdr:row>
      <xdr:rowOff>285750</xdr:rowOff>
    </xdr:from>
    <xdr:to>
      <xdr:col>1</xdr:col>
      <xdr:colOff>1066800</xdr:colOff>
      <xdr:row>4</xdr:row>
      <xdr:rowOff>400050</xdr:rowOff>
    </xdr:to>
    <xdr:sp macro="" textlink="">
      <xdr:nvSpPr>
        <xdr:cNvPr id="3" name="Rectangle 2">
          <a:extLst>
            <a:ext uri="{FF2B5EF4-FFF2-40B4-BE49-F238E27FC236}">
              <a16:creationId xmlns:a16="http://schemas.microsoft.com/office/drawing/2014/main" id="{4B193B41-4FB6-4F97-9F08-CAC64198D5C3}"/>
            </a:ext>
          </a:extLst>
        </xdr:cNvPr>
        <xdr:cNvSpPr/>
      </xdr:nvSpPr>
      <xdr:spPr>
        <a:xfrm>
          <a:off x="66675" y="1092200"/>
          <a:ext cx="1101725" cy="9969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4</xdr:row>
      <xdr:rowOff>0</xdr:rowOff>
    </xdr:from>
    <xdr:to>
      <xdr:col>1</xdr:col>
      <xdr:colOff>314325</xdr:colOff>
      <xdr:row>4</xdr:row>
      <xdr:rowOff>323850</xdr:rowOff>
    </xdr:to>
    <xdr:sp macro="" textlink="">
      <xdr:nvSpPr>
        <xdr:cNvPr id="4" name="Star: 4 Points 3">
          <a:extLst>
            <a:ext uri="{FF2B5EF4-FFF2-40B4-BE49-F238E27FC236}">
              <a16:creationId xmlns:a16="http://schemas.microsoft.com/office/drawing/2014/main" id="{03E229D7-1EA6-4ACA-9E60-476EB041F8F6}"/>
            </a:ext>
          </a:extLst>
        </xdr:cNvPr>
        <xdr:cNvSpPr/>
      </xdr:nvSpPr>
      <xdr:spPr>
        <a:xfrm>
          <a:off x="101600" y="1689100"/>
          <a:ext cx="314325" cy="323850"/>
        </a:xfrm>
        <a:prstGeom prst="star4">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323850</xdr:colOff>
      <xdr:row>3</xdr:row>
      <xdr:rowOff>66675</xdr:rowOff>
    </xdr:from>
    <xdr:to>
      <xdr:col>1</xdr:col>
      <xdr:colOff>1000125</xdr:colOff>
      <xdr:row>4</xdr:row>
      <xdr:rowOff>304800</xdr:rowOff>
    </xdr:to>
    <xdr:sp macro="" textlink="">
      <xdr:nvSpPr>
        <xdr:cNvPr id="5" name="TextBox 4">
          <a:extLst>
            <a:ext uri="{FF2B5EF4-FFF2-40B4-BE49-F238E27FC236}">
              <a16:creationId xmlns:a16="http://schemas.microsoft.com/office/drawing/2014/main" id="{D9683E08-12FE-4F8B-8EB9-814D6135A052}"/>
            </a:ext>
          </a:extLst>
        </xdr:cNvPr>
        <xdr:cNvSpPr txBox="1"/>
      </xdr:nvSpPr>
      <xdr:spPr>
        <a:xfrm>
          <a:off x="425450" y="1311275"/>
          <a:ext cx="676275" cy="682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t>Milestone</a:t>
          </a:r>
        </a:p>
      </xdr:txBody>
    </xdr:sp>
    <xdr:clientData/>
  </xdr:twoCellAnchor>
  <xdr:twoCellAnchor>
    <xdr:from>
      <xdr:col>23</xdr:col>
      <xdr:colOff>0</xdr:colOff>
      <xdr:row>4</xdr:row>
      <xdr:rowOff>809625</xdr:rowOff>
    </xdr:from>
    <xdr:to>
      <xdr:col>23</xdr:col>
      <xdr:colOff>0</xdr:colOff>
      <xdr:row>5</xdr:row>
      <xdr:rowOff>47625</xdr:rowOff>
    </xdr:to>
    <xdr:sp macro="" textlink="">
      <xdr:nvSpPr>
        <xdr:cNvPr id="6" name="Star: 4 Points 5">
          <a:extLst>
            <a:ext uri="{FF2B5EF4-FFF2-40B4-BE49-F238E27FC236}">
              <a16:creationId xmlns:a16="http://schemas.microsoft.com/office/drawing/2014/main" id="{55BD9C53-BFC0-4B40-B958-D0A826E74F98}"/>
            </a:ext>
          </a:extLst>
        </xdr:cNvPr>
        <xdr:cNvSpPr/>
      </xdr:nvSpPr>
      <xdr:spPr>
        <a:xfrm>
          <a:off x="12084050" y="2498725"/>
          <a:ext cx="0" cy="323850"/>
        </a:xfrm>
        <a:prstGeom prst="star4">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57</xdr:col>
      <xdr:colOff>457200</xdr:colOff>
      <xdr:row>13</xdr:row>
      <xdr:rowOff>733425</xdr:rowOff>
    </xdr:from>
    <xdr:to>
      <xdr:col>57</xdr:col>
      <xdr:colOff>771525</xdr:colOff>
      <xdr:row>13</xdr:row>
      <xdr:rowOff>1057275</xdr:rowOff>
    </xdr:to>
    <xdr:sp macro="" textlink="">
      <xdr:nvSpPr>
        <xdr:cNvPr id="7" name="Star: 4 Points 6">
          <a:extLst>
            <a:ext uri="{FF2B5EF4-FFF2-40B4-BE49-F238E27FC236}">
              <a16:creationId xmlns:a16="http://schemas.microsoft.com/office/drawing/2014/main" id="{07D3BD0B-1A6C-4B7C-8294-A12B60C2FCC4}"/>
            </a:ext>
          </a:extLst>
        </xdr:cNvPr>
        <xdr:cNvSpPr/>
      </xdr:nvSpPr>
      <xdr:spPr>
        <a:xfrm>
          <a:off x="25006300" y="4397375"/>
          <a:ext cx="314325" cy="0"/>
        </a:xfrm>
        <a:prstGeom prst="star4">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43</xdr:col>
      <xdr:colOff>457200</xdr:colOff>
      <xdr:row>13</xdr:row>
      <xdr:rowOff>733425</xdr:rowOff>
    </xdr:from>
    <xdr:to>
      <xdr:col>43</xdr:col>
      <xdr:colOff>771525</xdr:colOff>
      <xdr:row>13</xdr:row>
      <xdr:rowOff>1057275</xdr:rowOff>
    </xdr:to>
    <xdr:sp macro="" textlink="">
      <xdr:nvSpPr>
        <xdr:cNvPr id="8" name="Star: 4 Points 7">
          <a:extLst>
            <a:ext uri="{FF2B5EF4-FFF2-40B4-BE49-F238E27FC236}">
              <a16:creationId xmlns:a16="http://schemas.microsoft.com/office/drawing/2014/main" id="{7CFE2DC8-02F6-467A-8927-B3A806A8D2A4}"/>
            </a:ext>
          </a:extLst>
        </xdr:cNvPr>
        <xdr:cNvSpPr/>
      </xdr:nvSpPr>
      <xdr:spPr>
        <a:xfrm>
          <a:off x="20466050" y="4397375"/>
          <a:ext cx="314325" cy="0"/>
        </a:xfrm>
        <a:prstGeom prst="star4">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57</xdr:col>
      <xdr:colOff>344805</xdr:colOff>
      <xdr:row>4</xdr:row>
      <xdr:rowOff>1030605</xdr:rowOff>
    </xdr:from>
    <xdr:to>
      <xdr:col>57</xdr:col>
      <xdr:colOff>552265</xdr:colOff>
      <xdr:row>4</xdr:row>
      <xdr:rowOff>1340336</xdr:rowOff>
    </xdr:to>
    <xdr:sp macro="" textlink="">
      <xdr:nvSpPr>
        <xdr:cNvPr id="11" name="Star: 4 Points 10">
          <a:extLst>
            <a:ext uri="{FF2B5EF4-FFF2-40B4-BE49-F238E27FC236}">
              <a16:creationId xmlns:a16="http://schemas.microsoft.com/office/drawing/2014/main" id="{9E1BCA14-ADD3-436D-B609-B19AFCACD738}"/>
            </a:ext>
            <a:ext uri="{147F2762-F138-4A5C-976F-8EAC2B608ADB}">
              <a16:predDERef xmlns:a16="http://schemas.microsoft.com/office/drawing/2014/main" pred="{9E4E021D-D053-45EF-93F1-72F426BB387E}"/>
            </a:ext>
          </a:extLst>
        </xdr:cNvPr>
        <xdr:cNvSpPr/>
      </xdr:nvSpPr>
      <xdr:spPr>
        <a:xfrm>
          <a:off x="25871805" y="2335530"/>
          <a:ext cx="207460" cy="309731"/>
        </a:xfrm>
        <a:prstGeom prst="star4">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65</xdr:col>
      <xdr:colOff>876300</xdr:colOff>
      <xdr:row>4</xdr:row>
      <xdr:rowOff>1076325</xdr:rowOff>
    </xdr:from>
    <xdr:to>
      <xdr:col>66</xdr:col>
      <xdr:colOff>95250</xdr:colOff>
      <xdr:row>4</xdr:row>
      <xdr:rowOff>1428750</xdr:rowOff>
    </xdr:to>
    <xdr:sp macro="" textlink="">
      <xdr:nvSpPr>
        <xdr:cNvPr id="12" name="Star: 4 Points 11">
          <a:extLst>
            <a:ext uri="{FF2B5EF4-FFF2-40B4-BE49-F238E27FC236}">
              <a16:creationId xmlns:a16="http://schemas.microsoft.com/office/drawing/2014/main" id="{2B842EF4-4D6D-430E-945C-E073BF936A08}"/>
            </a:ext>
            <a:ext uri="{147F2762-F138-4A5C-976F-8EAC2B608ADB}">
              <a16:predDERef xmlns:a16="http://schemas.microsoft.com/office/drawing/2014/main" pred="{9E1BCA14-ADD3-436D-B609-B19AFCACD738}"/>
            </a:ext>
          </a:extLst>
        </xdr:cNvPr>
        <xdr:cNvSpPr/>
      </xdr:nvSpPr>
      <xdr:spPr>
        <a:xfrm>
          <a:off x="40147875" y="2381250"/>
          <a:ext cx="485775" cy="352425"/>
        </a:xfrm>
        <a:prstGeom prst="star4">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49</xdr:col>
      <xdr:colOff>368300</xdr:colOff>
      <xdr:row>4</xdr:row>
      <xdr:rowOff>976630</xdr:rowOff>
    </xdr:from>
    <xdr:to>
      <xdr:col>49</xdr:col>
      <xdr:colOff>666565</xdr:colOff>
      <xdr:row>4</xdr:row>
      <xdr:rowOff>1282551</xdr:rowOff>
    </xdr:to>
    <xdr:sp macro="" textlink="">
      <xdr:nvSpPr>
        <xdr:cNvPr id="13" name="Star: 4 Points 12">
          <a:extLst>
            <a:ext uri="{FF2B5EF4-FFF2-40B4-BE49-F238E27FC236}">
              <a16:creationId xmlns:a16="http://schemas.microsoft.com/office/drawing/2014/main" id="{3A9B1384-B4C7-491C-B0AE-29C559F2978C}"/>
            </a:ext>
            <a:ext uri="{147F2762-F138-4A5C-976F-8EAC2B608ADB}">
              <a16:predDERef xmlns:a16="http://schemas.microsoft.com/office/drawing/2014/main" pred="{2B842EF4-4D6D-430E-945C-E073BF936A08}"/>
            </a:ext>
          </a:extLst>
        </xdr:cNvPr>
        <xdr:cNvSpPr/>
      </xdr:nvSpPr>
      <xdr:spPr>
        <a:xfrm>
          <a:off x="22028150" y="2281555"/>
          <a:ext cx="298265" cy="305921"/>
        </a:xfrm>
        <a:prstGeom prst="star4">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419100</xdr:colOff>
      <xdr:row>4</xdr:row>
      <xdr:rowOff>1095375</xdr:rowOff>
    </xdr:from>
    <xdr:to>
      <xdr:col>29</xdr:col>
      <xdr:colOff>657225</xdr:colOff>
      <xdr:row>4</xdr:row>
      <xdr:rowOff>1304925</xdr:rowOff>
    </xdr:to>
    <xdr:sp macro="" textlink="">
      <xdr:nvSpPr>
        <xdr:cNvPr id="15" name="4-Point Star 14">
          <a:extLst>
            <a:ext uri="{FF2B5EF4-FFF2-40B4-BE49-F238E27FC236}">
              <a16:creationId xmlns:a16="http://schemas.microsoft.com/office/drawing/2014/main" id="{CB15698A-D584-4BDC-B184-F4301200899F}"/>
            </a:ext>
            <a:ext uri="{147F2762-F138-4A5C-976F-8EAC2B608ADB}">
              <a16:predDERef xmlns:a16="http://schemas.microsoft.com/office/drawing/2014/main" pred="{425C6244-E85B-47B9-AB47-E4FC29A5177B}"/>
            </a:ext>
          </a:extLst>
        </xdr:cNvPr>
        <xdr:cNvSpPr/>
      </xdr:nvSpPr>
      <xdr:spPr>
        <a:xfrm>
          <a:off x="16487775" y="2400300"/>
          <a:ext cx="238125" cy="209550"/>
        </a:xfrm>
        <a:prstGeom prst="star4">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xdr:from>
      <xdr:col>41</xdr:col>
      <xdr:colOff>457200</xdr:colOff>
      <xdr:row>13</xdr:row>
      <xdr:rowOff>733425</xdr:rowOff>
    </xdr:from>
    <xdr:to>
      <xdr:col>41</xdr:col>
      <xdr:colOff>771525</xdr:colOff>
      <xdr:row>13</xdr:row>
      <xdr:rowOff>1057275</xdr:rowOff>
    </xdr:to>
    <xdr:sp macro="" textlink="">
      <xdr:nvSpPr>
        <xdr:cNvPr id="9" name="Star: 4 Points 7">
          <a:extLst>
            <a:ext uri="{FF2B5EF4-FFF2-40B4-BE49-F238E27FC236}">
              <a16:creationId xmlns:a16="http://schemas.microsoft.com/office/drawing/2014/main" id="{710A584A-525E-4357-A383-F53AC87AE84A}"/>
            </a:ext>
            <a:ext uri="{147F2762-F138-4A5C-976F-8EAC2B608ADB}">
              <a16:predDERef xmlns:a16="http://schemas.microsoft.com/office/drawing/2014/main" pred="{E95E15B1-AA72-4A7E-B12A-DA4A42A383D4}"/>
            </a:ext>
          </a:extLst>
        </xdr:cNvPr>
        <xdr:cNvSpPr/>
      </xdr:nvSpPr>
      <xdr:spPr>
        <a:xfrm>
          <a:off x="23450550" y="4476750"/>
          <a:ext cx="314325" cy="0"/>
        </a:xfrm>
        <a:prstGeom prst="star4">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371475</xdr:colOff>
      <xdr:row>4</xdr:row>
      <xdr:rowOff>1152525</xdr:rowOff>
    </xdr:from>
    <xdr:to>
      <xdr:col>23</xdr:col>
      <xdr:colOff>914400</xdr:colOff>
      <xdr:row>4</xdr:row>
      <xdr:rowOff>1400175</xdr:rowOff>
    </xdr:to>
    <xdr:sp macro="" textlink="">
      <xdr:nvSpPr>
        <xdr:cNvPr id="10" name="4-Point Star 9">
          <a:extLst>
            <a:ext uri="{FF2B5EF4-FFF2-40B4-BE49-F238E27FC236}">
              <a16:creationId xmlns:a16="http://schemas.microsoft.com/office/drawing/2014/main" id="{46BBEF68-5269-4D28-B694-FAB5F287F956}"/>
            </a:ext>
            <a:ext uri="{147F2762-F138-4A5C-976F-8EAC2B608ADB}">
              <a16:predDERef xmlns:a16="http://schemas.microsoft.com/office/drawing/2014/main" pred="{710A584A-525E-4357-A383-F53AC87AE84A}"/>
            </a:ext>
          </a:extLst>
        </xdr:cNvPr>
        <xdr:cNvSpPr/>
      </xdr:nvSpPr>
      <xdr:spPr>
        <a:xfrm>
          <a:off x="17526000" y="2457450"/>
          <a:ext cx="542925" cy="247650"/>
        </a:xfrm>
        <a:prstGeom prst="star4">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31</xdr:col>
      <xdr:colOff>0</xdr:colOff>
      <xdr:row>4</xdr:row>
      <xdr:rowOff>790575</xdr:rowOff>
    </xdr:from>
    <xdr:to>
      <xdr:col>31</xdr:col>
      <xdr:colOff>0</xdr:colOff>
      <xdr:row>5</xdr:row>
      <xdr:rowOff>28575</xdr:rowOff>
    </xdr:to>
    <xdr:sp macro="" textlink="">
      <xdr:nvSpPr>
        <xdr:cNvPr id="2" name="Star: 4 Points 1">
          <a:extLst>
            <a:ext uri="{FF2B5EF4-FFF2-40B4-BE49-F238E27FC236}">
              <a16:creationId xmlns:a16="http://schemas.microsoft.com/office/drawing/2014/main" id="{9786A459-45AE-4575-9E14-C8CB3978C321}"/>
            </a:ext>
          </a:extLst>
        </xdr:cNvPr>
        <xdr:cNvSpPr/>
      </xdr:nvSpPr>
      <xdr:spPr>
        <a:xfrm>
          <a:off x="17145000" y="1455420"/>
          <a:ext cx="0" cy="323850"/>
        </a:xfrm>
        <a:prstGeom prst="star4">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37</xdr:col>
      <xdr:colOff>0</xdr:colOff>
      <xdr:row>4</xdr:row>
      <xdr:rowOff>800100</xdr:rowOff>
    </xdr:from>
    <xdr:to>
      <xdr:col>37</xdr:col>
      <xdr:colOff>0</xdr:colOff>
      <xdr:row>5</xdr:row>
      <xdr:rowOff>38100</xdr:rowOff>
    </xdr:to>
    <xdr:sp macro="" textlink="">
      <xdr:nvSpPr>
        <xdr:cNvPr id="3" name="Star: 4 Points 2">
          <a:extLst>
            <a:ext uri="{FF2B5EF4-FFF2-40B4-BE49-F238E27FC236}">
              <a16:creationId xmlns:a16="http://schemas.microsoft.com/office/drawing/2014/main" id="{DBE94B4C-971D-49F3-8658-CBCCAE1B3AC2}"/>
            </a:ext>
          </a:extLst>
        </xdr:cNvPr>
        <xdr:cNvSpPr/>
      </xdr:nvSpPr>
      <xdr:spPr>
        <a:xfrm>
          <a:off x="19669125" y="1466850"/>
          <a:ext cx="0" cy="323850"/>
        </a:xfrm>
        <a:prstGeom prst="star4">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49</xdr:col>
      <xdr:colOff>590587</xdr:colOff>
      <xdr:row>4</xdr:row>
      <xdr:rowOff>808169</xdr:rowOff>
    </xdr:from>
    <xdr:to>
      <xdr:col>50</xdr:col>
      <xdr:colOff>191658</xdr:colOff>
      <xdr:row>5</xdr:row>
      <xdr:rowOff>46169</xdr:rowOff>
    </xdr:to>
    <xdr:sp macro="" textlink="">
      <xdr:nvSpPr>
        <xdr:cNvPr id="4" name="Star: 4 Points 3">
          <a:extLst>
            <a:ext uri="{FF2B5EF4-FFF2-40B4-BE49-F238E27FC236}">
              <a16:creationId xmlns:a16="http://schemas.microsoft.com/office/drawing/2014/main" id="{4DF55B34-DDDA-4A89-8469-B2B6B6A0A08C}"/>
            </a:ext>
          </a:extLst>
        </xdr:cNvPr>
        <xdr:cNvSpPr/>
      </xdr:nvSpPr>
      <xdr:spPr>
        <a:xfrm>
          <a:off x="25323202" y="1476824"/>
          <a:ext cx="233531" cy="323850"/>
        </a:xfrm>
        <a:prstGeom prst="star4">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51</xdr:col>
      <xdr:colOff>765361</xdr:colOff>
      <xdr:row>4</xdr:row>
      <xdr:rowOff>818029</xdr:rowOff>
    </xdr:from>
    <xdr:to>
      <xdr:col>53</xdr:col>
      <xdr:colOff>10796</xdr:colOff>
      <xdr:row>5</xdr:row>
      <xdr:rowOff>38100</xdr:rowOff>
    </xdr:to>
    <xdr:sp macro="" textlink="">
      <xdr:nvSpPr>
        <xdr:cNvPr id="5" name="Star: 4 Points 4">
          <a:extLst>
            <a:ext uri="{FF2B5EF4-FFF2-40B4-BE49-F238E27FC236}">
              <a16:creationId xmlns:a16="http://schemas.microsoft.com/office/drawing/2014/main" id="{8416F5CF-1DCB-41B2-B38F-F5824CEB960A}"/>
            </a:ext>
          </a:extLst>
        </xdr:cNvPr>
        <xdr:cNvSpPr/>
      </xdr:nvSpPr>
      <xdr:spPr>
        <a:xfrm>
          <a:off x="26339986" y="1488589"/>
          <a:ext cx="314140" cy="302111"/>
        </a:xfrm>
        <a:prstGeom prst="star4">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66675</xdr:colOff>
      <xdr:row>2</xdr:row>
      <xdr:rowOff>285750</xdr:rowOff>
    </xdr:from>
    <xdr:to>
      <xdr:col>1</xdr:col>
      <xdr:colOff>1066800</xdr:colOff>
      <xdr:row>4</xdr:row>
      <xdr:rowOff>400050</xdr:rowOff>
    </xdr:to>
    <xdr:sp macro="" textlink="">
      <xdr:nvSpPr>
        <xdr:cNvPr id="6" name="Rectangle 5">
          <a:extLst>
            <a:ext uri="{FF2B5EF4-FFF2-40B4-BE49-F238E27FC236}">
              <a16:creationId xmlns:a16="http://schemas.microsoft.com/office/drawing/2014/main" id="{77ABFE13-B8C1-41C8-9984-C946DE024948}"/>
            </a:ext>
          </a:extLst>
        </xdr:cNvPr>
        <xdr:cNvSpPr/>
      </xdr:nvSpPr>
      <xdr:spPr>
        <a:xfrm>
          <a:off x="64770" y="567690"/>
          <a:ext cx="1097280" cy="4953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4</xdr:row>
      <xdr:rowOff>0</xdr:rowOff>
    </xdr:from>
    <xdr:to>
      <xdr:col>1</xdr:col>
      <xdr:colOff>314325</xdr:colOff>
      <xdr:row>4</xdr:row>
      <xdr:rowOff>323850</xdr:rowOff>
    </xdr:to>
    <xdr:sp macro="" textlink="">
      <xdr:nvSpPr>
        <xdr:cNvPr id="7" name="Star: 4 Points 6">
          <a:extLst>
            <a:ext uri="{FF2B5EF4-FFF2-40B4-BE49-F238E27FC236}">
              <a16:creationId xmlns:a16="http://schemas.microsoft.com/office/drawing/2014/main" id="{7E3217F1-BD85-4589-94AE-87D45A4CD766}"/>
            </a:ext>
          </a:extLst>
        </xdr:cNvPr>
        <xdr:cNvSpPr/>
      </xdr:nvSpPr>
      <xdr:spPr>
        <a:xfrm>
          <a:off x="95250" y="666750"/>
          <a:ext cx="316230" cy="320040"/>
        </a:xfrm>
        <a:prstGeom prst="star4">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323850</xdr:colOff>
      <xdr:row>3</xdr:row>
      <xdr:rowOff>66675</xdr:rowOff>
    </xdr:from>
    <xdr:to>
      <xdr:col>1</xdr:col>
      <xdr:colOff>1000125</xdr:colOff>
      <xdr:row>4</xdr:row>
      <xdr:rowOff>304800</xdr:rowOff>
    </xdr:to>
    <xdr:sp macro="" textlink="">
      <xdr:nvSpPr>
        <xdr:cNvPr id="8" name="TextBox 7">
          <a:extLst>
            <a:ext uri="{FF2B5EF4-FFF2-40B4-BE49-F238E27FC236}">
              <a16:creationId xmlns:a16="http://schemas.microsoft.com/office/drawing/2014/main" id="{95DC9A8C-1DB2-45D8-BADB-D2C87360D9D4}"/>
            </a:ext>
          </a:extLst>
        </xdr:cNvPr>
        <xdr:cNvSpPr txBox="1"/>
      </xdr:nvSpPr>
      <xdr:spPr>
        <a:xfrm>
          <a:off x="415290" y="655320"/>
          <a:ext cx="681990" cy="3162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t>Milestone</a:t>
          </a:r>
        </a:p>
      </xdr:txBody>
    </xdr:sp>
    <xdr:clientData/>
  </xdr:twoCellAnchor>
  <xdr:twoCellAnchor>
    <xdr:from>
      <xdr:col>37</xdr:col>
      <xdr:colOff>0</xdr:colOff>
      <xdr:row>4</xdr:row>
      <xdr:rowOff>809625</xdr:rowOff>
    </xdr:from>
    <xdr:to>
      <xdr:col>37</xdr:col>
      <xdr:colOff>0</xdr:colOff>
      <xdr:row>5</xdr:row>
      <xdr:rowOff>47625</xdr:rowOff>
    </xdr:to>
    <xdr:sp macro="" textlink="">
      <xdr:nvSpPr>
        <xdr:cNvPr id="9" name="Star: 4 Points 8">
          <a:extLst>
            <a:ext uri="{FF2B5EF4-FFF2-40B4-BE49-F238E27FC236}">
              <a16:creationId xmlns:a16="http://schemas.microsoft.com/office/drawing/2014/main" id="{85D8E71C-33B8-4060-8B98-BAB9EC555E1B}"/>
            </a:ext>
          </a:extLst>
        </xdr:cNvPr>
        <xdr:cNvSpPr/>
      </xdr:nvSpPr>
      <xdr:spPr>
        <a:xfrm>
          <a:off x="19669125" y="1478280"/>
          <a:ext cx="0" cy="323850"/>
        </a:xfrm>
        <a:prstGeom prst="star4">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37</xdr:col>
      <xdr:colOff>457200</xdr:colOff>
      <xdr:row>14</xdr:row>
      <xdr:rowOff>733425</xdr:rowOff>
    </xdr:from>
    <xdr:to>
      <xdr:col>37</xdr:col>
      <xdr:colOff>771525</xdr:colOff>
      <xdr:row>14</xdr:row>
      <xdr:rowOff>1057275</xdr:rowOff>
    </xdr:to>
    <xdr:sp macro="" textlink="">
      <xdr:nvSpPr>
        <xdr:cNvPr id="10" name="Star: 4 Points 9">
          <a:extLst>
            <a:ext uri="{FF2B5EF4-FFF2-40B4-BE49-F238E27FC236}">
              <a16:creationId xmlns:a16="http://schemas.microsoft.com/office/drawing/2014/main" id="{8A2CFAC5-8B08-4656-8D30-BD3650901EE6}"/>
            </a:ext>
          </a:extLst>
        </xdr:cNvPr>
        <xdr:cNvSpPr/>
      </xdr:nvSpPr>
      <xdr:spPr>
        <a:xfrm>
          <a:off x="20126325" y="6116955"/>
          <a:ext cx="316230" cy="0"/>
        </a:xfrm>
        <a:prstGeom prst="star4">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33</xdr:col>
      <xdr:colOff>457200</xdr:colOff>
      <xdr:row>14</xdr:row>
      <xdr:rowOff>733425</xdr:rowOff>
    </xdr:from>
    <xdr:to>
      <xdr:col>33</xdr:col>
      <xdr:colOff>771525</xdr:colOff>
      <xdr:row>14</xdr:row>
      <xdr:rowOff>1057275</xdr:rowOff>
    </xdr:to>
    <xdr:sp macro="" textlink="">
      <xdr:nvSpPr>
        <xdr:cNvPr id="11" name="Star: 4 Points 10">
          <a:extLst>
            <a:ext uri="{FF2B5EF4-FFF2-40B4-BE49-F238E27FC236}">
              <a16:creationId xmlns:a16="http://schemas.microsoft.com/office/drawing/2014/main" id="{7E6F96E4-E054-48D0-ADEB-41C1DDC43689}"/>
            </a:ext>
          </a:extLst>
        </xdr:cNvPr>
        <xdr:cNvSpPr/>
      </xdr:nvSpPr>
      <xdr:spPr>
        <a:xfrm>
          <a:off x="18326100" y="6116955"/>
          <a:ext cx="240030" cy="0"/>
        </a:xfrm>
        <a:prstGeom prst="star4">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381000</xdr:colOff>
      <xdr:row>14</xdr:row>
      <xdr:rowOff>762000</xdr:rowOff>
    </xdr:from>
    <xdr:to>
      <xdr:col>31</xdr:col>
      <xdr:colOff>733426</xdr:colOff>
      <xdr:row>15</xdr:row>
      <xdr:rowOff>0</xdr:rowOff>
    </xdr:to>
    <xdr:sp macro="" textlink="">
      <xdr:nvSpPr>
        <xdr:cNvPr id="12" name="Star: 4 Points 11">
          <a:extLst>
            <a:ext uri="{FF2B5EF4-FFF2-40B4-BE49-F238E27FC236}">
              <a16:creationId xmlns:a16="http://schemas.microsoft.com/office/drawing/2014/main" id="{D753CC40-7AD2-47D9-B3EC-9A0DB7356217}"/>
            </a:ext>
          </a:extLst>
        </xdr:cNvPr>
        <xdr:cNvSpPr/>
      </xdr:nvSpPr>
      <xdr:spPr>
        <a:xfrm>
          <a:off x="17526000" y="6115050"/>
          <a:ext cx="135256" cy="0"/>
        </a:xfrm>
        <a:prstGeom prst="star4">
          <a:avLst>
            <a:gd name="adj" fmla="val 15441"/>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219076</xdr:colOff>
      <xdr:row>14</xdr:row>
      <xdr:rowOff>733425</xdr:rowOff>
    </xdr:from>
    <xdr:to>
      <xdr:col>30</xdr:col>
      <xdr:colOff>1</xdr:colOff>
      <xdr:row>14</xdr:row>
      <xdr:rowOff>1057275</xdr:rowOff>
    </xdr:to>
    <xdr:sp macro="" textlink="">
      <xdr:nvSpPr>
        <xdr:cNvPr id="13" name="Star: 4 Points 12">
          <a:extLst>
            <a:ext uri="{FF2B5EF4-FFF2-40B4-BE49-F238E27FC236}">
              <a16:creationId xmlns:a16="http://schemas.microsoft.com/office/drawing/2014/main" id="{C06DBA27-796C-4513-9287-18B1F9D111A1}"/>
            </a:ext>
          </a:extLst>
        </xdr:cNvPr>
        <xdr:cNvSpPr/>
      </xdr:nvSpPr>
      <xdr:spPr>
        <a:xfrm>
          <a:off x="16600171" y="6116955"/>
          <a:ext cx="373380" cy="0"/>
        </a:xfrm>
        <a:prstGeom prst="star4">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171450</xdr:colOff>
      <xdr:row>15</xdr:row>
      <xdr:rowOff>762000</xdr:rowOff>
    </xdr:from>
    <xdr:to>
      <xdr:col>31</xdr:col>
      <xdr:colOff>485775</xdr:colOff>
      <xdr:row>16</xdr:row>
      <xdr:rowOff>0</xdr:rowOff>
    </xdr:to>
    <xdr:sp macro="" textlink="">
      <xdr:nvSpPr>
        <xdr:cNvPr id="14" name="Star: 4 Points 13">
          <a:extLst>
            <a:ext uri="{FF2B5EF4-FFF2-40B4-BE49-F238E27FC236}">
              <a16:creationId xmlns:a16="http://schemas.microsoft.com/office/drawing/2014/main" id="{BADECAAA-36E4-4F1E-9916-F28B8976260F}"/>
            </a:ext>
          </a:extLst>
        </xdr:cNvPr>
        <xdr:cNvSpPr/>
      </xdr:nvSpPr>
      <xdr:spPr>
        <a:xfrm>
          <a:off x="17312640" y="6296025"/>
          <a:ext cx="316230" cy="0"/>
        </a:xfrm>
        <a:prstGeom prst="star4">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65</xdr:col>
      <xdr:colOff>516032</xdr:colOff>
      <xdr:row>4</xdr:row>
      <xdr:rowOff>716056</xdr:rowOff>
    </xdr:from>
    <xdr:to>
      <xdr:col>66</xdr:col>
      <xdr:colOff>168088</xdr:colOff>
      <xdr:row>5</xdr:row>
      <xdr:rowOff>39781</xdr:rowOff>
    </xdr:to>
    <xdr:sp macro="" textlink="">
      <xdr:nvSpPr>
        <xdr:cNvPr id="15" name="Star: 4 Points 14">
          <a:extLst>
            <a:ext uri="{FF2B5EF4-FFF2-40B4-BE49-F238E27FC236}">
              <a16:creationId xmlns:a16="http://schemas.microsoft.com/office/drawing/2014/main" id="{3CF033EF-617A-49FD-A6B8-B8A44B086B3D}"/>
            </a:ext>
          </a:extLst>
        </xdr:cNvPr>
        <xdr:cNvSpPr/>
      </xdr:nvSpPr>
      <xdr:spPr>
        <a:xfrm>
          <a:off x="32373347" y="1380901"/>
          <a:ext cx="288326" cy="411480"/>
        </a:xfrm>
        <a:prstGeom prst="star4">
          <a:avLst>
            <a:gd name="adj" fmla="val 10520"/>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37</xdr:col>
      <xdr:colOff>358589</xdr:colOff>
      <xdr:row>4</xdr:row>
      <xdr:rowOff>694764</xdr:rowOff>
    </xdr:from>
    <xdr:to>
      <xdr:col>37</xdr:col>
      <xdr:colOff>615763</xdr:colOff>
      <xdr:row>5</xdr:row>
      <xdr:rowOff>18489</xdr:rowOff>
    </xdr:to>
    <xdr:sp macro="" textlink="">
      <xdr:nvSpPr>
        <xdr:cNvPr id="16" name="Star: 4 Points 15">
          <a:extLst>
            <a:ext uri="{FF2B5EF4-FFF2-40B4-BE49-F238E27FC236}">
              <a16:creationId xmlns:a16="http://schemas.microsoft.com/office/drawing/2014/main" id="{552489D8-741C-4219-91A4-C708953E47BB}"/>
            </a:ext>
          </a:extLst>
        </xdr:cNvPr>
        <xdr:cNvSpPr/>
      </xdr:nvSpPr>
      <xdr:spPr>
        <a:xfrm>
          <a:off x="20031524" y="1363419"/>
          <a:ext cx="255269" cy="411480"/>
        </a:xfrm>
        <a:prstGeom prst="star4">
          <a:avLst>
            <a:gd name="adj" fmla="val 10520"/>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253253</xdr:colOff>
      <xdr:row>4</xdr:row>
      <xdr:rowOff>701487</xdr:rowOff>
    </xdr:from>
    <xdr:to>
      <xdr:col>31</xdr:col>
      <xdr:colOff>510427</xdr:colOff>
      <xdr:row>5</xdr:row>
      <xdr:rowOff>25212</xdr:rowOff>
    </xdr:to>
    <xdr:sp macro="" textlink="">
      <xdr:nvSpPr>
        <xdr:cNvPr id="17" name="Star: 4 Points 16">
          <a:extLst>
            <a:ext uri="{FF2B5EF4-FFF2-40B4-BE49-F238E27FC236}">
              <a16:creationId xmlns:a16="http://schemas.microsoft.com/office/drawing/2014/main" id="{01F42D1F-8324-468E-B392-7F45BCF2192F}"/>
            </a:ext>
          </a:extLst>
        </xdr:cNvPr>
        <xdr:cNvSpPr/>
      </xdr:nvSpPr>
      <xdr:spPr>
        <a:xfrm>
          <a:off x="17394443" y="1372047"/>
          <a:ext cx="264794" cy="401955"/>
        </a:xfrm>
        <a:prstGeom prst="star4">
          <a:avLst>
            <a:gd name="adj" fmla="val 10520"/>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237565</xdr:colOff>
      <xdr:row>4</xdr:row>
      <xdr:rowOff>764239</xdr:rowOff>
    </xdr:from>
    <xdr:to>
      <xdr:col>18</xdr:col>
      <xdr:colOff>12886</xdr:colOff>
      <xdr:row>5</xdr:row>
      <xdr:rowOff>87964</xdr:rowOff>
    </xdr:to>
    <xdr:sp macro="" textlink="">
      <xdr:nvSpPr>
        <xdr:cNvPr id="18" name="Star: 4 Points 17">
          <a:extLst>
            <a:ext uri="{FF2B5EF4-FFF2-40B4-BE49-F238E27FC236}">
              <a16:creationId xmlns:a16="http://schemas.microsoft.com/office/drawing/2014/main" id="{09821C97-05D0-41BA-B9A2-E67342539110}"/>
            </a:ext>
          </a:extLst>
        </xdr:cNvPr>
        <xdr:cNvSpPr/>
      </xdr:nvSpPr>
      <xdr:spPr>
        <a:xfrm>
          <a:off x="10631245" y="1430989"/>
          <a:ext cx="282051" cy="413385"/>
        </a:xfrm>
        <a:prstGeom prst="star4">
          <a:avLst>
            <a:gd name="adj" fmla="val 10520"/>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358588</xdr:colOff>
      <xdr:row>4</xdr:row>
      <xdr:rowOff>795617</xdr:rowOff>
    </xdr:from>
    <xdr:to>
      <xdr:col>13</xdr:col>
      <xdr:colOff>615762</xdr:colOff>
      <xdr:row>5</xdr:row>
      <xdr:rowOff>119342</xdr:rowOff>
    </xdr:to>
    <xdr:sp macro="" textlink="">
      <xdr:nvSpPr>
        <xdr:cNvPr id="19" name="Star: 4 Points 18">
          <a:extLst>
            <a:ext uri="{FF2B5EF4-FFF2-40B4-BE49-F238E27FC236}">
              <a16:creationId xmlns:a16="http://schemas.microsoft.com/office/drawing/2014/main" id="{94C47309-6C8E-4AF3-8B46-3C67275A257B}"/>
            </a:ext>
          </a:extLst>
        </xdr:cNvPr>
        <xdr:cNvSpPr/>
      </xdr:nvSpPr>
      <xdr:spPr>
        <a:xfrm>
          <a:off x="9077773" y="1460462"/>
          <a:ext cx="255269" cy="413385"/>
        </a:xfrm>
        <a:prstGeom prst="star4">
          <a:avLst>
            <a:gd name="adj" fmla="val 10520"/>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57</xdr:col>
      <xdr:colOff>562161</xdr:colOff>
      <xdr:row>4</xdr:row>
      <xdr:rowOff>796439</xdr:rowOff>
    </xdr:from>
    <xdr:to>
      <xdr:col>59</xdr:col>
      <xdr:colOff>7621</xdr:colOff>
      <xdr:row>5</xdr:row>
      <xdr:rowOff>12700</xdr:rowOff>
    </xdr:to>
    <xdr:sp macro="" textlink="">
      <xdr:nvSpPr>
        <xdr:cNvPr id="20" name="Star: 4 Points 19">
          <a:extLst>
            <a:ext uri="{FF2B5EF4-FFF2-40B4-BE49-F238E27FC236}">
              <a16:creationId xmlns:a16="http://schemas.microsoft.com/office/drawing/2014/main" id="{8A768A13-A1A1-4D76-9FC9-F53E755D5024}"/>
            </a:ext>
          </a:extLst>
        </xdr:cNvPr>
        <xdr:cNvSpPr/>
      </xdr:nvSpPr>
      <xdr:spPr>
        <a:xfrm>
          <a:off x="28916181" y="1463189"/>
          <a:ext cx="325570" cy="305921"/>
        </a:xfrm>
        <a:prstGeom prst="star4">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298F3-A78F-4E31-AC6C-24615814518D}">
  <dimension ref="A1:D27"/>
  <sheetViews>
    <sheetView workbookViewId="0">
      <selection activeCell="D14" sqref="D14"/>
    </sheetView>
  </sheetViews>
  <sheetFormatPr defaultRowHeight="14.45"/>
  <cols>
    <col min="1" max="1" width="10.5703125" bestFit="1" customWidth="1"/>
  </cols>
  <sheetData>
    <row r="1" spans="1:4" ht="15" thickBot="1">
      <c r="A1" s="10">
        <v>45651</v>
      </c>
    </row>
    <row r="2" spans="1:4" ht="15" thickBot="1">
      <c r="A2" s="10">
        <v>45652</v>
      </c>
      <c r="D2" t="s">
        <v>0</v>
      </c>
    </row>
    <row r="3" spans="1:4" ht="15" thickBot="1">
      <c r="A3" s="10">
        <v>45653</v>
      </c>
      <c r="D3" t="s">
        <v>1</v>
      </c>
    </row>
    <row r="4" spans="1:4" ht="15" thickBot="1">
      <c r="A4" s="10">
        <v>45654</v>
      </c>
      <c r="D4" t="s">
        <v>2</v>
      </c>
    </row>
    <row r="5" spans="1:4" ht="15" thickBot="1">
      <c r="A5" s="10">
        <v>45655</v>
      </c>
      <c r="D5" t="s">
        <v>3</v>
      </c>
    </row>
    <row r="6" spans="1:4" ht="15" thickBot="1">
      <c r="A6" s="10">
        <v>45656</v>
      </c>
    </row>
    <row r="7" spans="1:4" ht="18.75" customHeight="1" thickBot="1">
      <c r="A7" s="10">
        <v>45657</v>
      </c>
    </row>
    <row r="8" spans="1:4" ht="15" thickBot="1">
      <c r="A8" s="10">
        <v>45658</v>
      </c>
    </row>
    <row r="9" spans="1:4">
      <c r="A9" s="10">
        <v>45674</v>
      </c>
    </row>
    <row r="10" spans="1:4" ht="15" thickBot="1">
      <c r="A10" s="11"/>
    </row>
    <row r="11" spans="1:4">
      <c r="A11" s="10"/>
    </row>
    <row r="12" spans="1:4" ht="15" thickBot="1">
      <c r="A12" s="11"/>
    </row>
    <row r="13" spans="1:4">
      <c r="A13" s="10"/>
    </row>
    <row r="14" spans="1:4">
      <c r="A14" s="11"/>
    </row>
    <row r="15" spans="1:4" ht="15" thickBot="1">
      <c r="A15" s="11"/>
    </row>
    <row r="16" spans="1:4" ht="15" thickBot="1">
      <c r="A16" s="10"/>
    </row>
    <row r="17" spans="1:1" ht="15" thickBot="1">
      <c r="A17" s="10"/>
    </row>
    <row r="18" spans="1:1" ht="15" thickBot="1">
      <c r="A18" s="10"/>
    </row>
    <row r="19" spans="1:1" ht="15" thickBot="1">
      <c r="A19" s="10"/>
    </row>
    <row r="20" spans="1:1" ht="15" thickBot="1">
      <c r="A20" s="10"/>
    </row>
    <row r="21" spans="1:1" ht="15" thickBot="1">
      <c r="A21" s="10"/>
    </row>
    <row r="22" spans="1:1" ht="15" thickBot="1">
      <c r="A22" s="10"/>
    </row>
    <row r="23" spans="1:1">
      <c r="A23" s="10"/>
    </row>
    <row r="24" spans="1:1">
      <c r="A24" s="11"/>
    </row>
    <row r="25" spans="1:1" ht="15" thickBot="1">
      <c r="A25" s="11"/>
    </row>
    <row r="26" spans="1:1">
      <c r="A26" s="10"/>
    </row>
    <row r="27" spans="1:1">
      <c r="A27"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0D70C-EB93-4DDC-97E3-284F83BDF4C7}">
  <dimension ref="B1:BQ21"/>
  <sheetViews>
    <sheetView showGridLines="0" zoomScale="70" zoomScaleNormal="70" workbookViewId="0">
      <pane xSplit="5" ySplit="11" topLeftCell="J12" activePane="bottomRight" state="frozen"/>
      <selection pane="bottomRight" activeCell="AB6" sqref="AB6:AC6"/>
      <selection pane="bottomLeft" activeCell="AB6" sqref="AB6:AC6"/>
      <selection pane="topRight" activeCell="AB6" sqref="AB6:AC6"/>
    </sheetView>
  </sheetViews>
  <sheetFormatPr defaultColWidth="8.5703125" defaultRowHeight="14.45" outlineLevelRow="1"/>
  <cols>
    <col min="1" max="1" width="1.42578125" style="1" customWidth="1"/>
    <col min="2" max="2" width="36.42578125" style="1" customWidth="1"/>
    <col min="3" max="3" width="10.5703125" style="1" customWidth="1"/>
    <col min="4" max="4" width="12" style="2" bestFit="1" customWidth="1"/>
    <col min="5" max="5" width="14" style="1" customWidth="1"/>
    <col min="6" max="6" width="9.42578125" style="1" customWidth="1"/>
    <col min="7" max="7" width="3" style="1" customWidth="1"/>
    <col min="8" max="8" width="9.140625" style="1" customWidth="1"/>
    <col min="9" max="9" width="2.42578125" style="1" bestFit="1" customWidth="1"/>
    <col min="10" max="10" width="8.42578125" style="1" bestFit="1" customWidth="1"/>
    <col min="11" max="11" width="2.5703125" style="1" customWidth="1"/>
    <col min="12" max="12" width="7.42578125" style="1" bestFit="1" customWidth="1"/>
    <col min="13" max="13" width="2.140625" style="1" bestFit="1" customWidth="1"/>
    <col min="14" max="14" width="7.42578125" style="1" bestFit="1" customWidth="1"/>
    <col min="15" max="15" width="2.140625" style="1" bestFit="1" customWidth="1"/>
    <col min="16" max="16" width="7.5703125" style="1" bestFit="1" customWidth="1"/>
    <col min="17" max="17" width="3.85546875" style="1" customWidth="1"/>
    <col min="18" max="18" width="7.42578125" style="2" bestFit="1" customWidth="1"/>
    <col min="19" max="19" width="2.5703125" style="1" customWidth="1"/>
    <col min="20" max="20" width="9.140625" style="2" customWidth="1"/>
    <col min="21" max="21" width="2.42578125" style="1" bestFit="1" customWidth="1"/>
    <col min="22" max="22" width="10.85546875" style="1" customWidth="1"/>
    <col min="23" max="23" width="2.85546875" style="1" customWidth="1"/>
    <col min="24" max="24" width="7.5703125" style="1" bestFit="1" customWidth="1"/>
    <col min="25" max="25" width="2.140625" style="1" bestFit="1" customWidth="1"/>
    <col min="26" max="26" width="7.42578125" style="1" bestFit="1" customWidth="1"/>
    <col min="27" max="27" width="2.140625" style="1" customWidth="1"/>
    <col min="28" max="28" width="18.140625" style="1" customWidth="1"/>
    <col min="29" max="29" width="3.140625" style="1" bestFit="1" customWidth="1"/>
    <col min="30" max="30" width="7.42578125" style="1" bestFit="1" customWidth="1"/>
    <col min="31" max="31" width="2.140625" style="1" bestFit="1" customWidth="1"/>
    <col min="32" max="32" width="15.140625" style="1" bestFit="1" customWidth="1"/>
    <col min="33" max="33" width="3" style="1" bestFit="1" customWidth="1"/>
    <col min="34" max="34" width="16.42578125" style="1" customWidth="1"/>
    <col min="35" max="35" width="3.42578125" style="1" bestFit="1" customWidth="1"/>
    <col min="36" max="36" width="22.5703125" style="1" bestFit="1" customWidth="1"/>
    <col min="37" max="37" width="4.140625" style="1" bestFit="1" customWidth="1"/>
    <col min="38" max="38" width="20.140625" style="1" customWidth="1"/>
    <col min="39" max="39" width="3.5703125" style="1" customWidth="1"/>
    <col min="40" max="40" width="14.42578125" style="1" bestFit="1" customWidth="1"/>
    <col min="41" max="41" width="3.42578125" style="1" bestFit="1" customWidth="1"/>
    <col min="42" max="42" width="7.42578125" style="1" bestFit="1" customWidth="1"/>
    <col min="43" max="43" width="2" style="1" bestFit="1" customWidth="1"/>
    <col min="44" max="44" width="8" style="1" customWidth="1"/>
    <col min="45" max="45" width="2" style="1" bestFit="1" customWidth="1"/>
    <col min="46" max="46" width="8.5703125" style="1" customWidth="1"/>
    <col min="47" max="47" width="2" style="1" bestFit="1" customWidth="1"/>
    <col min="48" max="48" width="7.5703125" style="1" bestFit="1" customWidth="1"/>
    <col min="49" max="49" width="2" style="1" bestFit="1" customWidth="1"/>
    <col min="50" max="50" width="7.5703125" style="1" bestFit="1" customWidth="1"/>
    <col min="51" max="51" width="2" style="1" bestFit="1" customWidth="1"/>
    <col min="52" max="52" width="8" style="1" customWidth="1"/>
    <col min="53" max="53" width="2" style="1" bestFit="1" customWidth="1"/>
    <col min="54" max="54" width="7.5703125" style="1" bestFit="1" customWidth="1"/>
    <col min="55" max="55" width="2" style="1" bestFit="1" customWidth="1"/>
    <col min="56" max="56" width="7.5703125" style="1" bestFit="1" customWidth="1"/>
    <col min="57" max="57" width="2" style="1" bestFit="1" customWidth="1"/>
    <col min="58" max="58" width="7.5703125" style="1" bestFit="1" customWidth="1"/>
    <col min="59" max="59" width="2" style="1" bestFit="1" customWidth="1"/>
    <col min="60" max="60" width="8.85546875" style="1" customWidth="1"/>
    <col min="61" max="61" width="2" style="1" bestFit="1" customWidth="1"/>
    <col min="62" max="62" width="9.5703125" style="1" customWidth="1"/>
    <col min="63" max="63" width="2" style="1" bestFit="1" customWidth="1"/>
    <col min="64" max="64" width="7.42578125" style="1" bestFit="1" customWidth="1"/>
    <col min="65" max="65" width="2" style="1" bestFit="1" customWidth="1"/>
    <col min="66" max="66" width="7.42578125" style="1" bestFit="1" customWidth="1"/>
    <col min="67" max="67" width="2" style="1" bestFit="1" customWidth="1"/>
    <col min="68" max="68" width="8.5703125" style="1"/>
    <col min="69" max="69" width="2" style="1" bestFit="1" customWidth="1"/>
    <col min="70" max="16384" width="8.5703125" style="1"/>
  </cols>
  <sheetData>
    <row r="1" spans="2:69" ht="18.600000000000001">
      <c r="B1" s="5" t="s">
        <v>4</v>
      </c>
      <c r="F1"/>
      <c r="G1"/>
      <c r="H1"/>
      <c r="I1"/>
      <c r="Z1" s="25" t="s">
        <v>5</v>
      </c>
    </row>
    <row r="2" spans="2:69" ht="5.25" customHeight="1" thickBot="1">
      <c r="B2" s="5"/>
      <c r="F2"/>
      <c r="G2"/>
      <c r="H2"/>
      <c r="I2"/>
    </row>
    <row r="3" spans="2:69" ht="24" customHeight="1" thickBot="1">
      <c r="B3" s="1" t="s">
        <v>6</v>
      </c>
      <c r="C3" s="4">
        <v>45169</v>
      </c>
      <c r="E3" s="22" t="s">
        <v>7</v>
      </c>
      <c r="F3" s="29" t="s">
        <v>8</v>
      </c>
      <c r="G3" s="17" t="s">
        <v>0</v>
      </c>
      <c r="H3" s="18">
        <f>COUNTIF($F8:$BQ$11,G3)</f>
        <v>0</v>
      </c>
      <c r="I3" s="13"/>
      <c r="J3" s="30" t="s">
        <v>9</v>
      </c>
      <c r="K3" s="19" t="s">
        <v>1</v>
      </c>
      <c r="L3" s="14">
        <f>COUNTIF($F9:$BQ$11,K3)</f>
        <v>1</v>
      </c>
      <c r="M3" s="13"/>
      <c r="N3" s="31" t="s">
        <v>10</v>
      </c>
      <c r="O3" s="20" t="s">
        <v>2</v>
      </c>
      <c r="P3" s="15">
        <f>COUNTIF($F9:$BQ$11,O3)</f>
        <v>0</v>
      </c>
      <c r="Q3" s="13"/>
      <c r="R3" s="32" t="s">
        <v>11</v>
      </c>
      <c r="S3" s="21" t="s">
        <v>3</v>
      </c>
      <c r="T3" s="16">
        <f>COUNTIF($F10:$BQ$11,S3)</f>
        <v>0</v>
      </c>
      <c r="U3" s="13"/>
      <c r="V3" s="28" t="s">
        <v>12</v>
      </c>
      <c r="W3" s="23" t="s">
        <v>13</v>
      </c>
      <c r="Z3" s="40" t="s">
        <v>14</v>
      </c>
      <c r="AA3" s="40" t="s">
        <v>15</v>
      </c>
      <c r="AB3" s="41" t="s">
        <v>16</v>
      </c>
      <c r="AC3" s="41" t="s">
        <v>17</v>
      </c>
      <c r="AD3" s="42" t="s">
        <v>18</v>
      </c>
      <c r="AE3" s="42" t="s">
        <v>19</v>
      </c>
      <c r="AF3" s="39" t="s">
        <v>20</v>
      </c>
      <c r="AG3" s="39" t="s">
        <v>21</v>
      </c>
      <c r="AH3" s="40" t="s">
        <v>22</v>
      </c>
      <c r="AI3" s="40" t="s">
        <v>23</v>
      </c>
      <c r="AJ3" s="41" t="s">
        <v>24</v>
      </c>
      <c r="AK3" s="41" t="s">
        <v>25</v>
      </c>
      <c r="AL3" s="42" t="s">
        <v>26</v>
      </c>
      <c r="AM3" s="42" t="s">
        <v>27</v>
      </c>
      <c r="AN3" s="39" t="s">
        <v>28</v>
      </c>
      <c r="AO3" s="39" t="s">
        <v>29</v>
      </c>
    </row>
    <row r="4" spans="2:69" customFormat="1" ht="16.5" customHeight="1"/>
    <row r="5" spans="2:69" ht="85.7" customHeight="1" thickBot="1">
      <c r="B5" s="2"/>
      <c r="C5" s="86"/>
      <c r="D5" s="87"/>
      <c r="E5" s="33" t="s">
        <v>30</v>
      </c>
      <c r="F5" s="90" t="s">
        <v>31</v>
      </c>
      <c r="G5" s="91"/>
      <c r="H5" s="90" t="s">
        <v>32</v>
      </c>
      <c r="I5" s="91"/>
      <c r="J5" s="91" t="s">
        <v>33</v>
      </c>
      <c r="K5" s="91"/>
      <c r="L5" s="88" t="s">
        <v>34</v>
      </c>
      <c r="M5" s="89"/>
      <c r="N5" s="91" t="s">
        <v>35</v>
      </c>
      <c r="O5" s="91"/>
      <c r="P5" s="91" t="s">
        <v>36</v>
      </c>
      <c r="Q5" s="91"/>
      <c r="R5" s="91" t="s">
        <v>37</v>
      </c>
      <c r="S5" s="91"/>
      <c r="T5" s="91" t="s">
        <v>38</v>
      </c>
      <c r="U5" s="91"/>
      <c r="V5" s="92" t="s">
        <v>39</v>
      </c>
      <c r="W5" s="90"/>
      <c r="X5" s="92" t="s">
        <v>40</v>
      </c>
      <c r="Y5" s="90"/>
      <c r="Z5" s="92" t="s">
        <v>41</v>
      </c>
      <c r="AA5" s="90" t="s">
        <v>42</v>
      </c>
      <c r="AB5" s="92" t="s">
        <v>43</v>
      </c>
      <c r="AC5" s="90"/>
      <c r="AD5" s="91" t="s">
        <v>44</v>
      </c>
      <c r="AE5" s="91"/>
      <c r="AF5" s="91" t="s">
        <v>45</v>
      </c>
      <c r="AG5" s="91"/>
      <c r="AH5" s="91" t="s">
        <v>46</v>
      </c>
      <c r="AI5" s="91"/>
      <c r="AJ5" s="91" t="s">
        <v>47</v>
      </c>
      <c r="AK5" s="91"/>
      <c r="AL5" s="91" t="s">
        <v>48</v>
      </c>
      <c r="AM5" s="91"/>
      <c r="AN5" s="91" t="s">
        <v>49</v>
      </c>
      <c r="AO5" s="91"/>
      <c r="AP5" s="91" t="s">
        <v>50</v>
      </c>
      <c r="AQ5" s="91"/>
      <c r="AR5" s="91" t="s">
        <v>51</v>
      </c>
      <c r="AS5" s="91"/>
      <c r="AT5" s="91" t="s">
        <v>52</v>
      </c>
      <c r="AU5" s="91"/>
      <c r="AV5" s="92" t="s">
        <v>53</v>
      </c>
      <c r="AW5" s="90"/>
      <c r="AX5" s="92" t="s">
        <v>54</v>
      </c>
      <c r="AY5" s="90"/>
      <c r="AZ5" s="92" t="s">
        <v>41</v>
      </c>
      <c r="BA5" s="90" t="s">
        <v>42</v>
      </c>
      <c r="BB5" s="92" t="s">
        <v>55</v>
      </c>
      <c r="BC5" s="90"/>
      <c r="BD5" s="91" t="s">
        <v>56</v>
      </c>
      <c r="BE5" s="91"/>
      <c r="BF5" s="91" t="s">
        <v>57</v>
      </c>
      <c r="BG5" s="91"/>
      <c r="BH5" s="91" t="s">
        <v>58</v>
      </c>
      <c r="BI5" s="91"/>
      <c r="BJ5" s="91" t="s">
        <v>59</v>
      </c>
      <c r="BK5" s="91"/>
      <c r="BL5" s="91" t="s">
        <v>60</v>
      </c>
      <c r="BM5" s="91"/>
      <c r="BN5" s="91" t="s">
        <v>61</v>
      </c>
      <c r="BO5" s="91"/>
    </row>
    <row r="6" spans="2:69" s="36" customFormat="1" ht="26.25" customHeight="1" outlineLevel="1">
      <c r="B6" s="34"/>
      <c r="C6" s="95" t="s">
        <v>62</v>
      </c>
      <c r="D6" s="96"/>
      <c r="E6" s="35"/>
      <c r="F6" s="98" t="s">
        <v>15</v>
      </c>
      <c r="G6" s="94"/>
      <c r="H6" s="94" t="s">
        <v>23</v>
      </c>
      <c r="I6" s="94"/>
      <c r="J6" s="94" t="s">
        <v>63</v>
      </c>
      <c r="K6" s="94"/>
      <c r="L6" s="94" t="s">
        <v>27</v>
      </c>
      <c r="M6" s="94"/>
      <c r="N6" s="94" t="s">
        <v>27</v>
      </c>
      <c r="O6" s="94"/>
      <c r="P6" s="94" t="s">
        <v>64</v>
      </c>
      <c r="Q6" s="94"/>
      <c r="R6" s="94" t="s">
        <v>65</v>
      </c>
      <c r="S6" s="94"/>
      <c r="T6" s="94" t="s">
        <v>66</v>
      </c>
      <c r="U6" s="94"/>
      <c r="V6" s="94" t="s">
        <v>66</v>
      </c>
      <c r="W6" s="94"/>
      <c r="X6" s="94" t="s">
        <v>67</v>
      </c>
      <c r="Y6" s="94"/>
      <c r="Z6" s="94" t="s">
        <v>68</v>
      </c>
      <c r="AA6" s="94"/>
      <c r="AB6" s="94" t="s">
        <v>67</v>
      </c>
      <c r="AC6" s="94"/>
      <c r="AD6" s="94" t="s">
        <v>67</v>
      </c>
      <c r="AE6" s="94"/>
      <c r="AF6" s="94" t="s">
        <v>23</v>
      </c>
      <c r="AG6" s="94"/>
      <c r="AH6" s="94" t="s">
        <v>23</v>
      </c>
      <c r="AI6" s="94"/>
      <c r="AJ6" s="94" t="s">
        <v>69</v>
      </c>
      <c r="AK6" s="94"/>
      <c r="AL6" s="94" t="s">
        <v>70</v>
      </c>
      <c r="AM6" s="94"/>
      <c r="AN6" s="94" t="s">
        <v>67</v>
      </c>
      <c r="AO6" s="94"/>
      <c r="AP6" s="94" t="s">
        <v>67</v>
      </c>
      <c r="AQ6" s="94"/>
      <c r="AR6" s="94" t="s">
        <v>71</v>
      </c>
      <c r="AS6" s="94"/>
      <c r="AT6" s="94" t="s">
        <v>72</v>
      </c>
      <c r="AU6" s="94"/>
      <c r="AV6" s="94" t="s">
        <v>73</v>
      </c>
      <c r="AW6" s="94"/>
      <c r="AX6" s="94" t="s">
        <v>67</v>
      </c>
      <c r="AY6" s="94"/>
      <c r="AZ6" s="94" t="s">
        <v>68</v>
      </c>
      <c r="BA6" s="94"/>
      <c r="BB6" s="94" t="s">
        <v>67</v>
      </c>
      <c r="BC6" s="94"/>
      <c r="BD6" s="94" t="s">
        <v>67</v>
      </c>
      <c r="BE6" s="94"/>
      <c r="BF6" s="94" t="s">
        <v>67</v>
      </c>
      <c r="BG6" s="94"/>
      <c r="BH6" s="94" t="s">
        <v>23</v>
      </c>
      <c r="BI6" s="94"/>
      <c r="BJ6" s="94" t="s">
        <v>63</v>
      </c>
      <c r="BK6" s="94"/>
      <c r="BL6" s="94" t="s">
        <v>15</v>
      </c>
      <c r="BM6" s="94"/>
      <c r="BN6" s="94" t="s">
        <v>67</v>
      </c>
      <c r="BO6" s="99"/>
    </row>
    <row r="7" spans="2:69" s="12" customFormat="1" outlineLevel="1">
      <c r="B7" s="1"/>
      <c r="C7" s="1"/>
      <c r="D7" s="2"/>
      <c r="E7" s="9" t="s">
        <v>74</v>
      </c>
      <c r="F7" s="93">
        <v>-36</v>
      </c>
      <c r="G7" s="93"/>
      <c r="H7" s="93">
        <v>-33</v>
      </c>
      <c r="I7" s="93"/>
      <c r="J7" s="93">
        <v>-30</v>
      </c>
      <c r="K7" s="93"/>
      <c r="L7" s="93">
        <v>-25</v>
      </c>
      <c r="M7" s="93"/>
      <c r="N7" s="93">
        <v>-24</v>
      </c>
      <c r="O7" s="93"/>
      <c r="P7" s="93">
        <v>-23</v>
      </c>
      <c r="Q7" s="93"/>
      <c r="R7" s="93">
        <v>-22</v>
      </c>
      <c r="S7" s="93"/>
      <c r="T7" s="93">
        <v>-21</v>
      </c>
      <c r="U7" s="93"/>
      <c r="V7" s="93">
        <v>-20</v>
      </c>
      <c r="W7" s="93"/>
      <c r="X7" s="93">
        <v>-19</v>
      </c>
      <c r="Y7" s="93"/>
      <c r="Z7" s="93">
        <v>-18</v>
      </c>
      <c r="AA7" s="93"/>
      <c r="AB7" s="93">
        <v>-17</v>
      </c>
      <c r="AC7" s="93"/>
      <c r="AD7" s="93">
        <v>-16</v>
      </c>
      <c r="AE7" s="93"/>
      <c r="AF7" s="93">
        <v>-15</v>
      </c>
      <c r="AG7" s="93"/>
      <c r="AH7" s="93">
        <v>-14</v>
      </c>
      <c r="AI7" s="93"/>
      <c r="AJ7" s="93">
        <v>-13</v>
      </c>
      <c r="AK7" s="93"/>
      <c r="AL7" s="93">
        <v>-12</v>
      </c>
      <c r="AM7" s="93"/>
      <c r="AN7" s="93">
        <v>-11</v>
      </c>
      <c r="AO7" s="93"/>
      <c r="AP7" s="93">
        <v>-10</v>
      </c>
      <c r="AQ7" s="93"/>
      <c r="AR7" s="93">
        <v>-9</v>
      </c>
      <c r="AS7" s="93"/>
      <c r="AT7" s="93">
        <v>-8</v>
      </c>
      <c r="AU7" s="93"/>
      <c r="AV7" s="93">
        <v>-6</v>
      </c>
      <c r="AW7" s="93"/>
      <c r="AX7" s="93">
        <v>-5</v>
      </c>
      <c r="AY7" s="93"/>
      <c r="AZ7" s="93">
        <v>-4</v>
      </c>
      <c r="BA7" s="93"/>
      <c r="BB7" s="93">
        <v>-3</v>
      </c>
      <c r="BC7" s="93"/>
      <c r="BD7" s="93">
        <v>-2</v>
      </c>
      <c r="BE7" s="93"/>
      <c r="BF7" s="93">
        <v>-1</v>
      </c>
      <c r="BG7" s="93"/>
      <c r="BH7" s="93">
        <v>0</v>
      </c>
      <c r="BI7" s="93"/>
      <c r="BJ7" s="93">
        <v>1</v>
      </c>
      <c r="BK7" s="93"/>
      <c r="BL7" s="97">
        <v>14</v>
      </c>
      <c r="BM7" s="97">
        <v>14</v>
      </c>
      <c r="BN7" s="97">
        <v>21</v>
      </c>
      <c r="BO7" s="97">
        <v>14</v>
      </c>
    </row>
    <row r="8" spans="2:69" s="12" customFormat="1" outlineLevel="1">
      <c r="B8" s="6" t="s">
        <v>75</v>
      </c>
      <c r="C8" s="6" t="s">
        <v>76</v>
      </c>
      <c r="D8" s="6" t="s">
        <v>77</v>
      </c>
      <c r="E8" s="8" t="s">
        <v>78</v>
      </c>
      <c r="F8" s="6" t="s">
        <v>79</v>
      </c>
      <c r="G8" s="6" t="s">
        <v>80</v>
      </c>
      <c r="H8" s="6" t="s">
        <v>79</v>
      </c>
      <c r="I8" s="6" t="s">
        <v>80</v>
      </c>
      <c r="J8" s="6" t="s">
        <v>79</v>
      </c>
      <c r="K8" s="6" t="s">
        <v>80</v>
      </c>
      <c r="L8" s="6" t="s">
        <v>79</v>
      </c>
      <c r="M8" s="6" t="s">
        <v>80</v>
      </c>
      <c r="N8" s="6" t="s">
        <v>79</v>
      </c>
      <c r="O8" s="6" t="s">
        <v>80</v>
      </c>
      <c r="P8" s="6" t="s">
        <v>79</v>
      </c>
      <c r="Q8" s="6" t="s">
        <v>80</v>
      </c>
      <c r="R8" s="6" t="s">
        <v>79</v>
      </c>
      <c r="S8" s="6" t="s">
        <v>80</v>
      </c>
      <c r="T8" s="6" t="s">
        <v>79</v>
      </c>
      <c r="U8" s="6" t="s">
        <v>80</v>
      </c>
      <c r="V8" s="6" t="s">
        <v>79</v>
      </c>
      <c r="W8" s="6" t="s">
        <v>80</v>
      </c>
      <c r="X8" s="6" t="s">
        <v>79</v>
      </c>
      <c r="Y8" s="6" t="s">
        <v>80</v>
      </c>
      <c r="Z8" s="6" t="s">
        <v>79</v>
      </c>
      <c r="AA8" s="6" t="s">
        <v>80</v>
      </c>
      <c r="AB8" s="6" t="s">
        <v>79</v>
      </c>
      <c r="AC8" s="6" t="s">
        <v>80</v>
      </c>
      <c r="AD8" s="6" t="s">
        <v>79</v>
      </c>
      <c r="AE8" s="6" t="s">
        <v>80</v>
      </c>
      <c r="AF8" s="6" t="s">
        <v>79</v>
      </c>
      <c r="AG8" s="6" t="s">
        <v>80</v>
      </c>
      <c r="AH8" s="6" t="s">
        <v>79</v>
      </c>
      <c r="AI8" s="6" t="s">
        <v>80</v>
      </c>
      <c r="AJ8" s="6" t="s">
        <v>79</v>
      </c>
      <c r="AK8" s="6" t="s">
        <v>80</v>
      </c>
      <c r="AL8" s="6" t="s">
        <v>79</v>
      </c>
      <c r="AM8" s="6" t="s">
        <v>80</v>
      </c>
      <c r="AN8" s="6" t="s">
        <v>79</v>
      </c>
      <c r="AO8" s="6" t="s">
        <v>80</v>
      </c>
      <c r="AP8" s="6" t="s">
        <v>79</v>
      </c>
      <c r="AQ8" s="6" t="s">
        <v>80</v>
      </c>
      <c r="AR8" s="6" t="s">
        <v>79</v>
      </c>
      <c r="AS8" s="6" t="s">
        <v>80</v>
      </c>
      <c r="AT8" s="6" t="s">
        <v>79</v>
      </c>
      <c r="AU8" s="6" t="s">
        <v>80</v>
      </c>
      <c r="AV8" s="6" t="s">
        <v>79</v>
      </c>
      <c r="AW8" s="6" t="s">
        <v>80</v>
      </c>
      <c r="AX8" s="6" t="s">
        <v>79</v>
      </c>
      <c r="AY8" s="6" t="s">
        <v>80</v>
      </c>
      <c r="AZ8" s="6" t="s">
        <v>79</v>
      </c>
      <c r="BA8" s="6" t="s">
        <v>80</v>
      </c>
      <c r="BB8" s="6" t="s">
        <v>79</v>
      </c>
      <c r="BC8" s="6" t="s">
        <v>80</v>
      </c>
      <c r="BD8" s="6" t="s">
        <v>79</v>
      </c>
      <c r="BE8" s="6" t="s">
        <v>80</v>
      </c>
      <c r="BF8" s="6" t="s">
        <v>79</v>
      </c>
      <c r="BG8" s="6" t="s">
        <v>80</v>
      </c>
      <c r="BH8" s="6" t="s">
        <v>79</v>
      </c>
      <c r="BI8" s="6" t="s">
        <v>80</v>
      </c>
      <c r="BJ8" s="6" t="s">
        <v>79</v>
      </c>
      <c r="BK8" s="6" t="s">
        <v>80</v>
      </c>
      <c r="BL8" s="6" t="s">
        <v>79</v>
      </c>
      <c r="BM8" s="6" t="s">
        <v>80</v>
      </c>
      <c r="BN8" s="6" t="s">
        <v>79</v>
      </c>
      <c r="BO8" s="6" t="s">
        <v>80</v>
      </c>
    </row>
    <row r="9" spans="2:69" s="12" customFormat="1" outlineLevel="1">
      <c r="B9" s="7" t="s">
        <v>81</v>
      </c>
      <c r="C9" s="7" t="s">
        <v>82</v>
      </c>
      <c r="D9" s="3" t="s">
        <v>83</v>
      </c>
      <c r="E9" s="4">
        <v>45169</v>
      </c>
      <c r="F9" s="26">
        <f>WORKDAY($E9,F$7, Blackout_Dates)</f>
        <v>45119</v>
      </c>
      <c r="G9" s="27"/>
      <c r="H9" s="26">
        <f>WORKDAY($E9,H$7, Blackout_Dates)</f>
        <v>45124</v>
      </c>
      <c r="I9" s="27"/>
      <c r="J9" s="26">
        <f>WORKDAY($E9,J$7, Blackout_Dates)</f>
        <v>45127</v>
      </c>
      <c r="K9" s="27"/>
      <c r="L9" s="26">
        <f>WORKDAY($E9,L$7, Blackout_Dates)</f>
        <v>45134</v>
      </c>
      <c r="M9" s="27"/>
      <c r="N9" s="26">
        <f>WORKDAY($E9,N$7, Blackout_Dates)</f>
        <v>45135</v>
      </c>
      <c r="O9" s="27"/>
      <c r="P9" s="26">
        <f>WORKDAY($E9,P$7, Blackout_Dates)</f>
        <v>45138</v>
      </c>
      <c r="Q9" s="27"/>
      <c r="R9" s="26">
        <f>WORKDAY($E9,R$7, Blackout_Dates)</f>
        <v>45139</v>
      </c>
      <c r="S9" s="27"/>
      <c r="T9" s="26">
        <f>WORKDAY($E9,T$7, Blackout_Dates)</f>
        <v>45140</v>
      </c>
      <c r="U9" s="27"/>
      <c r="V9" s="26">
        <f>WORKDAY($E9,V$7, Blackout_Dates)</f>
        <v>45141</v>
      </c>
      <c r="W9" s="27"/>
      <c r="X9" s="26">
        <f>WORKDAY($E9,X$7, Blackout_Dates)</f>
        <v>45142</v>
      </c>
      <c r="Y9" s="27"/>
      <c r="Z9" s="26">
        <f>WORKDAY($E9,Z$7, Blackout_Dates)</f>
        <v>45145</v>
      </c>
      <c r="AA9" s="27"/>
      <c r="AB9" s="26">
        <f>WORKDAY($E9,AB$7, Blackout_Dates)</f>
        <v>45146</v>
      </c>
      <c r="AC9" s="27"/>
      <c r="AD9" s="26">
        <f>WORKDAY($E9,AD$7, Blackout_Dates)</f>
        <v>45147</v>
      </c>
      <c r="AE9" s="27"/>
      <c r="AF9" s="26">
        <f>WORKDAY($E9,AF$7, Blackout_Dates)</f>
        <v>45148</v>
      </c>
      <c r="AG9" s="27"/>
      <c r="AH9" s="26">
        <f>WORKDAY($E9,AH$7, Blackout_Dates)</f>
        <v>45149</v>
      </c>
      <c r="AI9" s="27"/>
      <c r="AJ9" s="26">
        <f>WORKDAY($E9,AJ$7, Blackout_Dates)</f>
        <v>45152</v>
      </c>
      <c r="AK9" s="27"/>
      <c r="AL9" s="26">
        <f>WORKDAY($E9,AL$7, Blackout_Dates)</f>
        <v>45153</v>
      </c>
      <c r="AM9" s="27"/>
      <c r="AN9" s="26">
        <f>WORKDAY($E9,AN$7, Blackout_Dates)</f>
        <v>45154</v>
      </c>
      <c r="AO9" s="27"/>
      <c r="AP9" s="26">
        <f>WORKDAY($E9,AP$7, Blackout_Dates)</f>
        <v>45155</v>
      </c>
      <c r="AQ9" s="27"/>
      <c r="AR9" s="26">
        <f>WORKDAY($E9,AR$7, Blackout_Dates)</f>
        <v>45156</v>
      </c>
      <c r="AS9" s="27"/>
      <c r="AT9" s="26">
        <f>WORKDAY($E9,AT$7, Blackout_Dates)</f>
        <v>45159</v>
      </c>
      <c r="AU9" s="27"/>
      <c r="AV9" s="26">
        <f>WORKDAY($E9,AV$7, Blackout_Dates)</f>
        <v>45161</v>
      </c>
      <c r="AW9" s="27"/>
      <c r="AX9" s="26">
        <f>WORKDAY($E9,AX$7, Blackout_Dates)</f>
        <v>45162</v>
      </c>
      <c r="AY9" s="27"/>
      <c r="AZ9" s="26">
        <f>WORKDAY($E9,AZ$7, Blackout_Dates)</f>
        <v>45163</v>
      </c>
      <c r="BA9" s="27"/>
      <c r="BB9" s="26">
        <f>WORKDAY($E9,BB$7, Blackout_Dates)</f>
        <v>45166</v>
      </c>
      <c r="BC9" s="27"/>
      <c r="BD9" s="26">
        <f>WORKDAY($E9,BD$7, Blackout_Dates)</f>
        <v>45167</v>
      </c>
      <c r="BE9" s="27"/>
      <c r="BF9" s="26">
        <f>WORKDAY($E9,BF$7, Blackout_Dates)</f>
        <v>45168</v>
      </c>
      <c r="BG9" s="27"/>
      <c r="BH9" s="26">
        <f>WORKDAY($E9,BH$7, Blackout_Dates)</f>
        <v>45169</v>
      </c>
      <c r="BI9" s="27"/>
      <c r="BJ9" s="26">
        <f>WORKDAY($E9,BJ$7, Blackout_Dates)</f>
        <v>45170</v>
      </c>
      <c r="BK9" s="27"/>
      <c r="BL9" s="26">
        <f>WORKDAY($E9,BL$7, Blackout_Dates)</f>
        <v>45189</v>
      </c>
      <c r="BM9" s="27"/>
      <c r="BN9" s="26">
        <f>WORKDAY($E9,BN$7, Blackout_Dates)</f>
        <v>45198</v>
      </c>
      <c r="BO9" s="27"/>
    </row>
    <row r="10" spans="2:69">
      <c r="B10" s="7" t="s">
        <v>84</v>
      </c>
      <c r="C10" s="7" t="s">
        <v>82</v>
      </c>
      <c r="D10" s="3" t="s">
        <v>83</v>
      </c>
      <c r="E10" s="4">
        <v>45174</v>
      </c>
      <c r="F10" s="26">
        <f>WORKDAY($E10,F$7, Blackout_Dates)</f>
        <v>45124</v>
      </c>
      <c r="G10" s="27" t="s">
        <v>1</v>
      </c>
      <c r="H10" s="26">
        <f>WORKDAY($E10,H$7, Blackout_Dates)</f>
        <v>45127</v>
      </c>
      <c r="I10" s="27"/>
      <c r="J10" s="26">
        <f>WORKDAY($E10,J$7, Blackout_Dates)</f>
        <v>45132</v>
      </c>
      <c r="K10" s="27"/>
      <c r="L10" s="26">
        <f>WORKDAY($E10,L$7, Blackout_Dates)</f>
        <v>45139</v>
      </c>
      <c r="M10" s="27"/>
      <c r="N10" s="26">
        <f>WORKDAY($E10,N$7, Blackout_Dates)</f>
        <v>45140</v>
      </c>
      <c r="O10" s="27"/>
      <c r="P10" s="26">
        <f>WORKDAY($E10,P$7, Blackout_Dates)</f>
        <v>45141</v>
      </c>
      <c r="Q10" s="27"/>
      <c r="R10" s="26">
        <f>WORKDAY($E10,R$7, Blackout_Dates)</f>
        <v>45142</v>
      </c>
      <c r="S10" s="27"/>
      <c r="T10" s="26">
        <f>WORKDAY($E10,T$7, Blackout_Dates)</f>
        <v>45145</v>
      </c>
      <c r="U10" s="27"/>
      <c r="V10" s="26">
        <f>WORKDAY($E10,V$7, Blackout_Dates)</f>
        <v>45146</v>
      </c>
      <c r="W10" s="27"/>
      <c r="X10" s="26">
        <f>WORKDAY($E10,X$7, Blackout_Dates)</f>
        <v>45147</v>
      </c>
      <c r="Y10" s="27"/>
      <c r="Z10" s="26">
        <f>WORKDAY($E10,Z$7, Blackout_Dates)</f>
        <v>45148</v>
      </c>
      <c r="AA10" s="27"/>
      <c r="AB10" s="26">
        <f>WORKDAY($E10,AB$7, Blackout_Dates)</f>
        <v>45149</v>
      </c>
      <c r="AC10" s="27"/>
      <c r="AD10" s="26">
        <f>WORKDAY($E10,AD$7, Blackout_Dates)</f>
        <v>45152</v>
      </c>
      <c r="AE10" s="27"/>
      <c r="AF10" s="26">
        <f>WORKDAY($E10,AF$7, Blackout_Dates)</f>
        <v>45153</v>
      </c>
      <c r="AG10" s="27"/>
      <c r="AH10" s="26">
        <f>WORKDAY($E10,AH$7, Blackout_Dates)</f>
        <v>45154</v>
      </c>
      <c r="AI10" s="27"/>
      <c r="AJ10" s="26">
        <f>WORKDAY($E10,AJ$7, Blackout_Dates)</f>
        <v>45155</v>
      </c>
      <c r="AK10" s="27"/>
      <c r="AL10" s="26">
        <f>WORKDAY($E10,AL$7, Blackout_Dates)</f>
        <v>45156</v>
      </c>
      <c r="AM10" s="27"/>
      <c r="AN10" s="26">
        <f>WORKDAY($E10,AN$7, Blackout_Dates)</f>
        <v>45159</v>
      </c>
      <c r="AO10" s="27"/>
      <c r="AP10" s="26">
        <f>WORKDAY($E10,AP$7, Blackout_Dates)</f>
        <v>45160</v>
      </c>
      <c r="AQ10" s="27"/>
      <c r="AR10" s="26">
        <f>WORKDAY($E10,AR$7, Blackout_Dates)</f>
        <v>45161</v>
      </c>
      <c r="AS10" s="27"/>
      <c r="AT10" s="26">
        <f>WORKDAY($E10,AT$7, Blackout_Dates)</f>
        <v>45162</v>
      </c>
      <c r="AU10" s="27"/>
      <c r="AV10" s="26">
        <f>WORKDAY($E10,AV$7, Blackout_Dates)</f>
        <v>45166</v>
      </c>
      <c r="AW10" s="27"/>
      <c r="AX10" s="26">
        <f>WORKDAY($E10,AX$7, Blackout_Dates)</f>
        <v>45167</v>
      </c>
      <c r="AY10" s="27"/>
      <c r="AZ10" s="26">
        <f>WORKDAY($E10,AZ$7, Blackout_Dates)</f>
        <v>45168</v>
      </c>
      <c r="BA10" s="27"/>
      <c r="BB10" s="26">
        <f>WORKDAY($E10,BB$7, Blackout_Dates)</f>
        <v>45169</v>
      </c>
      <c r="BC10" s="27"/>
      <c r="BD10" s="26">
        <f>WORKDAY($E10,BD$7, Blackout_Dates)</f>
        <v>45170</v>
      </c>
      <c r="BE10" s="27"/>
      <c r="BF10" s="26">
        <f>WORKDAY($E10,BF$7, Blackout_Dates)</f>
        <v>45173</v>
      </c>
      <c r="BG10" s="27"/>
      <c r="BH10" s="26">
        <f>WORKDAY($E10,BH$7, Blackout_Dates)</f>
        <v>45174</v>
      </c>
      <c r="BI10" s="27"/>
      <c r="BJ10" s="26">
        <f>WORKDAY($E10,BJ$7, Blackout_Dates)</f>
        <v>45175</v>
      </c>
      <c r="BK10" s="27"/>
      <c r="BL10" s="26">
        <f>WORKDAY($E10,BL$7, Blackout_Dates)</f>
        <v>45194</v>
      </c>
      <c r="BM10" s="27"/>
      <c r="BN10" s="26">
        <f>WORKDAY($E10,BN$7, Blackout_Dates)</f>
        <v>45203</v>
      </c>
      <c r="BO10" s="27"/>
    </row>
    <row r="11" spans="2:69" ht="18" customHeight="1">
      <c r="B11" s="7" t="s">
        <v>85</v>
      </c>
      <c r="C11" s="7" t="s">
        <v>82</v>
      </c>
      <c r="D11" s="3" t="s">
        <v>83</v>
      </c>
      <c r="E11" s="4">
        <v>45177</v>
      </c>
      <c r="F11" s="26">
        <f>WORKDAY($E11,F$7, Blackout_Dates)</f>
        <v>45127</v>
      </c>
      <c r="G11" s="27"/>
      <c r="H11" s="26">
        <f>WORKDAY($E11,H$7, Blackout_Dates)</f>
        <v>45132</v>
      </c>
      <c r="I11" s="27"/>
      <c r="J11" s="26">
        <f>WORKDAY($E11,J$7, Blackout_Dates)</f>
        <v>45135</v>
      </c>
      <c r="K11" s="27"/>
      <c r="L11" s="26">
        <f>WORKDAY($E11,L$7, Blackout_Dates)</f>
        <v>45142</v>
      </c>
      <c r="M11" s="27"/>
      <c r="N11" s="26">
        <f>WORKDAY($E11,N$7, Blackout_Dates)</f>
        <v>45145</v>
      </c>
      <c r="O11" s="27"/>
      <c r="P11" s="26">
        <f>WORKDAY($E11,P$7, Blackout_Dates)</f>
        <v>45146</v>
      </c>
      <c r="Q11" s="27"/>
      <c r="R11" s="26">
        <f>WORKDAY($E11,R$7, Blackout_Dates)</f>
        <v>45147</v>
      </c>
      <c r="S11" s="27"/>
      <c r="T11" s="26">
        <f>WORKDAY($E11,T$7, Blackout_Dates)</f>
        <v>45148</v>
      </c>
      <c r="U11" s="27"/>
      <c r="V11" s="26">
        <f>WORKDAY($E11,V$7, Blackout_Dates)</f>
        <v>45149</v>
      </c>
      <c r="W11" s="27"/>
      <c r="X11" s="26">
        <f>WORKDAY($E11,X$7, Blackout_Dates)</f>
        <v>45152</v>
      </c>
      <c r="Y11" s="27"/>
      <c r="Z11" s="26">
        <f>WORKDAY($E11,Z$7, Blackout_Dates)</f>
        <v>45153</v>
      </c>
      <c r="AA11" s="27"/>
      <c r="AB11" s="26">
        <f>WORKDAY($E11,AB$7, Blackout_Dates)</f>
        <v>45154</v>
      </c>
      <c r="AC11" s="27"/>
      <c r="AD11" s="26">
        <f>WORKDAY($E11,AD$7, Blackout_Dates)</f>
        <v>45155</v>
      </c>
      <c r="AE11" s="27"/>
      <c r="AF11" s="26">
        <f>WORKDAY($E11,AF$7, Blackout_Dates)</f>
        <v>45156</v>
      </c>
      <c r="AG11" s="27"/>
      <c r="AH11" s="26">
        <f>WORKDAY($E11,AH$7, Blackout_Dates)</f>
        <v>45159</v>
      </c>
      <c r="AI11" s="27"/>
      <c r="AJ11" s="26">
        <f>WORKDAY($E11,AJ$7, Blackout_Dates)</f>
        <v>45160</v>
      </c>
      <c r="AK11" s="27"/>
      <c r="AL11" s="26">
        <f>WORKDAY($E11,AL$7, Blackout_Dates)</f>
        <v>45161</v>
      </c>
      <c r="AM11" s="27"/>
      <c r="AN11" s="26">
        <f>WORKDAY($E11,AN$7, Blackout_Dates)</f>
        <v>45162</v>
      </c>
      <c r="AO11" s="27"/>
      <c r="AP11" s="26">
        <f>WORKDAY($E11,AP$7, Blackout_Dates)</f>
        <v>45163</v>
      </c>
      <c r="AQ11" s="27"/>
      <c r="AR11" s="26">
        <f>WORKDAY($E11,AR$7, Blackout_Dates)</f>
        <v>45166</v>
      </c>
      <c r="AS11" s="27"/>
      <c r="AT11" s="26">
        <f>WORKDAY($E11,AT$7, Blackout_Dates)</f>
        <v>45167</v>
      </c>
      <c r="AU11" s="27"/>
      <c r="AV11" s="26" t="e">
        <f>WORKDAY($E11,#REF!, Blackout_Dates)</f>
        <v>#REF!</v>
      </c>
      <c r="AW11" s="27"/>
      <c r="AX11" s="26">
        <f>WORKDAY($E11,AV$7, Blackout_Dates)</f>
        <v>45169</v>
      </c>
      <c r="AY11" s="27"/>
      <c r="AZ11" s="26">
        <f>WORKDAY($E11,AX$7, Blackout_Dates)</f>
        <v>45170</v>
      </c>
      <c r="BA11" s="27"/>
      <c r="BB11" s="26">
        <f>WORKDAY($E11,AZ$7, Blackout_Dates)</f>
        <v>45173</v>
      </c>
      <c r="BC11" s="27"/>
      <c r="BD11" s="26">
        <f>WORKDAY($E11,BB$7, Blackout_Dates)</f>
        <v>45174</v>
      </c>
      <c r="BE11" s="27"/>
      <c r="BF11" s="26">
        <f>WORKDAY($E11,BD$7, Blackout_Dates)</f>
        <v>45175</v>
      </c>
      <c r="BG11" s="27"/>
      <c r="BH11" s="26">
        <f>WORKDAY($E11,BF$7, Blackout_Dates)</f>
        <v>45176</v>
      </c>
      <c r="BI11" s="27"/>
      <c r="BJ11" s="26">
        <f>WORKDAY($E11,BH$7, Blackout_Dates)</f>
        <v>45177</v>
      </c>
      <c r="BK11" s="27"/>
      <c r="BL11" s="26">
        <f>WORKDAY($E11,BJ$7, Blackout_Dates)</f>
        <v>45180</v>
      </c>
      <c r="BM11" s="27"/>
      <c r="BN11" s="26">
        <f>WORKDAY($E11,BL$7, Blackout_Dates)</f>
        <v>45197</v>
      </c>
      <c r="BO11" s="27"/>
      <c r="BP11" s="26">
        <f>WORKDAY($E11,BN$7, Blackout_Dates)</f>
        <v>45208</v>
      </c>
      <c r="BQ11" s="27"/>
    </row>
    <row r="13" spans="2:69">
      <c r="E13" s="1" t="s">
        <v>86</v>
      </c>
    </row>
    <row r="15" spans="2:69" ht="15" hidden="1" thickBot="1">
      <c r="B15" s="24" t="s">
        <v>87</v>
      </c>
      <c r="D15" s="1"/>
    </row>
    <row r="16" spans="2:69">
      <c r="D16" s="1"/>
    </row>
    <row r="17" spans="4:4">
      <c r="D17" s="1"/>
    </row>
    <row r="18" spans="4:4">
      <c r="D18" s="1"/>
    </row>
    <row r="19" spans="4:4">
      <c r="D19" s="1"/>
    </row>
    <row r="20" spans="4:4" ht="18.75" customHeight="1">
      <c r="D20" s="1"/>
    </row>
    <row r="21" spans="4:4">
      <c r="D21" s="1"/>
    </row>
  </sheetData>
  <mergeCells count="95">
    <mergeCell ref="BL6:BM6"/>
    <mergeCell ref="BN6:BO6"/>
    <mergeCell ref="AP7:AQ7"/>
    <mergeCell ref="AR7:AS7"/>
    <mergeCell ref="AT7:AU7"/>
    <mergeCell ref="AV7:AW7"/>
    <mergeCell ref="AX7:AY7"/>
    <mergeCell ref="AZ7:BA7"/>
    <mergeCell ref="BB7:BC7"/>
    <mergeCell ref="BD7:BE7"/>
    <mergeCell ref="BB6:BC6"/>
    <mergeCell ref="BF7:BG7"/>
    <mergeCell ref="BH7:BI7"/>
    <mergeCell ref="BJ7:BK7"/>
    <mergeCell ref="BD6:BE6"/>
    <mergeCell ref="BF6:BG6"/>
    <mergeCell ref="BJ6:BK6"/>
    <mergeCell ref="AT6:AU6"/>
    <mergeCell ref="AV6:AW6"/>
    <mergeCell ref="AX6:AY6"/>
    <mergeCell ref="AZ6:BA6"/>
    <mergeCell ref="AL6:AM6"/>
    <mergeCell ref="AN6:AO6"/>
    <mergeCell ref="AP6:AQ6"/>
    <mergeCell ref="AR6:AS6"/>
    <mergeCell ref="BH6:BI6"/>
    <mergeCell ref="H7:I7"/>
    <mergeCell ref="J5:K5"/>
    <mergeCell ref="L7:M7"/>
    <mergeCell ref="F6:G6"/>
    <mergeCell ref="H6:I6"/>
    <mergeCell ref="J6:K6"/>
    <mergeCell ref="L6:M6"/>
    <mergeCell ref="C6:D6"/>
    <mergeCell ref="BN7:BO7"/>
    <mergeCell ref="AD7:AE7"/>
    <mergeCell ref="AJ7:AK7"/>
    <mergeCell ref="AF7:AG7"/>
    <mergeCell ref="AB7:AC7"/>
    <mergeCell ref="BL7:BM7"/>
    <mergeCell ref="AH7:AI7"/>
    <mergeCell ref="AL7:AM7"/>
    <mergeCell ref="AN7:AO7"/>
    <mergeCell ref="J7:K7"/>
    <mergeCell ref="X7:Y7"/>
    <mergeCell ref="T7:U7"/>
    <mergeCell ref="Z7:AA7"/>
    <mergeCell ref="N7:O7"/>
    <mergeCell ref="F7:G7"/>
    <mergeCell ref="BN5:BO5"/>
    <mergeCell ref="AP5:AQ5"/>
    <mergeCell ref="AR5:AS5"/>
    <mergeCell ref="AT5:AU5"/>
    <mergeCell ref="AD5:AE5"/>
    <mergeCell ref="AV5:AW5"/>
    <mergeCell ref="BF5:BG5"/>
    <mergeCell ref="AN5:AO5"/>
    <mergeCell ref="AJ5:AK5"/>
    <mergeCell ref="AX5:AY5"/>
    <mergeCell ref="BJ5:BK5"/>
    <mergeCell ref="AF5:AG5"/>
    <mergeCell ref="AH5:AI5"/>
    <mergeCell ref="AL5:AM5"/>
    <mergeCell ref="BL5:BM5"/>
    <mergeCell ref="BH5:BI5"/>
    <mergeCell ref="R7:S7"/>
    <mergeCell ref="N5:O5"/>
    <mergeCell ref="R5:S5"/>
    <mergeCell ref="P5:Q5"/>
    <mergeCell ref="P7:Q7"/>
    <mergeCell ref="N6:O6"/>
    <mergeCell ref="P6:Q6"/>
    <mergeCell ref="R6:S6"/>
    <mergeCell ref="BD5:BE5"/>
    <mergeCell ref="V5:W5"/>
    <mergeCell ref="V7:W7"/>
    <mergeCell ref="T5:U5"/>
    <mergeCell ref="AB5:AC5"/>
    <mergeCell ref="X5:Y5"/>
    <mergeCell ref="Z5:AA5"/>
    <mergeCell ref="T6:U6"/>
    <mergeCell ref="V6:W6"/>
    <mergeCell ref="X6:Y6"/>
    <mergeCell ref="Z6:AA6"/>
    <mergeCell ref="AB6:AC6"/>
    <mergeCell ref="AD6:AE6"/>
    <mergeCell ref="AF6:AG6"/>
    <mergeCell ref="AH6:AI6"/>
    <mergeCell ref="AJ6:AK6"/>
    <mergeCell ref="C5:D5"/>
    <mergeCell ref="L5:M5"/>
    <mergeCell ref="H5:I5"/>
    <mergeCell ref="AZ5:BA5"/>
    <mergeCell ref="BB5:BC5"/>
    <mergeCell ref="F5:G5"/>
  </mergeCells>
  <phoneticPr fontId="2" type="noConversion"/>
  <conditionalFormatting sqref="G3 W3">
    <cfRule type="containsText" dxfId="591" priority="9" operator="containsText" text="A">
      <formula>NOT(ISERROR(SEARCH("A",G3)))</formula>
    </cfRule>
  </conditionalFormatting>
  <conditionalFormatting sqref="K3">
    <cfRule type="expression" dxfId="590" priority="18">
      <formula>AND(EDATE(K3,1),L3="C")</formula>
    </cfRule>
    <cfRule type="expression" dxfId="589" priority="19">
      <formula>AND(EDATE(K3,1), K3&gt;TODAY())</formula>
    </cfRule>
    <cfRule type="expression" dxfId="588" priority="20">
      <formula>AND(EDATE(K3,1),NOT(ISBLANK(K3)), K3&lt;TODAY())</formula>
    </cfRule>
    <cfRule type="containsText" dxfId="587" priority="21" operator="containsText" text="A">
      <formula>NOT(ISERROR(SEARCH("A",K3)))</formula>
    </cfRule>
    <cfRule type="containsText" dxfId="586" priority="22" operator="containsText" text="D">
      <formula>NOT(ISERROR(SEARCH("D",K3)))</formula>
    </cfRule>
    <cfRule type="containsText" dxfId="585" priority="23" operator="containsText" text="C">
      <formula>NOT(ISERROR(SEARCH("C",K3)))</formula>
    </cfRule>
    <cfRule type="containsText" dxfId="584" priority="24" operator="containsText" text="R">
      <formula>NOT(ISERROR(SEARCH("R",K3)))</formula>
    </cfRule>
    <cfRule type="containsBlanks" dxfId="583" priority="25">
      <formula>LEN(TRIM(K3))=0</formula>
    </cfRule>
  </conditionalFormatting>
  <conditionalFormatting sqref="O3">
    <cfRule type="expression" dxfId="582" priority="10">
      <formula>AND(EDATE(O3,1),P3="C")</formula>
    </cfRule>
    <cfRule type="expression" dxfId="581" priority="11">
      <formula>AND(EDATE(O3,1), O3&gt;TODAY())</formula>
    </cfRule>
    <cfRule type="expression" dxfId="580" priority="12">
      <formula>AND(EDATE(O3,1),NOT(ISBLANK(O3)), O3&lt;TODAY())</formula>
    </cfRule>
    <cfRule type="containsText" dxfId="579" priority="13" operator="containsText" text="A">
      <formula>NOT(ISERROR(SEARCH("A",O3)))</formula>
    </cfRule>
    <cfRule type="containsText" dxfId="578" priority="14" operator="containsText" text="D">
      <formula>NOT(ISERROR(SEARCH("D",O3)))</formula>
    </cfRule>
    <cfRule type="containsText" dxfId="577" priority="15" operator="containsText" text="C">
      <formula>NOT(ISERROR(SEARCH("C",O3)))</formula>
    </cfRule>
    <cfRule type="containsText" dxfId="576" priority="16" operator="containsText" text="R">
      <formula>NOT(ISERROR(SEARCH("R",O3)))</formula>
    </cfRule>
    <cfRule type="containsBlanks" dxfId="575" priority="17">
      <formula>LEN(TRIM(O3))=0</formula>
    </cfRule>
  </conditionalFormatting>
  <conditionalFormatting sqref="S3">
    <cfRule type="expression" dxfId="574" priority="1">
      <formula>AND(EDATE(S3,1),T3="C")</formula>
    </cfRule>
    <cfRule type="expression" dxfId="573" priority="2">
      <formula>AND(EDATE(S3,1), S3&gt;TODAY())</formula>
    </cfRule>
    <cfRule type="expression" dxfId="572" priority="3">
      <formula>AND(EDATE(S3,1),NOT(ISBLANK(S3)), S3&lt;TODAY())</formula>
    </cfRule>
    <cfRule type="containsText" dxfId="571" priority="4" operator="containsText" text="A">
      <formula>NOT(ISERROR(SEARCH("A",S3)))</formula>
    </cfRule>
    <cfRule type="containsText" dxfId="570" priority="5" operator="containsText" text="D">
      <formula>NOT(ISERROR(SEARCH("D",S3)))</formula>
    </cfRule>
    <cfRule type="containsText" dxfId="569" priority="6" operator="containsText" text="C">
      <formula>NOT(ISERROR(SEARCH("C",S3)))</formula>
    </cfRule>
    <cfRule type="containsText" dxfId="568" priority="7" operator="containsText" text="R">
      <formula>NOT(ISERROR(SEARCH("R",S3)))</formula>
    </cfRule>
    <cfRule type="containsBlanks" dxfId="567" priority="8">
      <formula>LEN(TRIM(S3))=0</formula>
    </cfRule>
  </conditionalFormatting>
  <conditionalFormatting sqref="W9:W11 Y9:Y11 AE9:AE11">
    <cfRule type="expression" dxfId="566" priority="655">
      <formula>AND(W9&gt;=TODAY(), #REF!="A")</formula>
    </cfRule>
    <cfRule type="expression" dxfId="565" priority="656">
      <formula>AND(EDATE(W9,1),#REF!="C")</formula>
    </cfRule>
    <cfRule type="expression" dxfId="564" priority="657">
      <formula>AND(EDATE(W9,1), W9&gt;TODAY())</formula>
    </cfRule>
    <cfRule type="expression" dxfId="563" priority="658">
      <formula>AND(EDATE(W9,1),NOT(ISBLANK(W9)), W9&lt;TODAY())</formula>
    </cfRule>
    <cfRule type="containsText" dxfId="562" priority="659" operator="containsText" text="A">
      <formula>NOT(ISERROR(SEARCH("A",W9)))</formula>
    </cfRule>
    <cfRule type="containsText" dxfId="561" priority="660" operator="containsText" text="D">
      <formula>NOT(ISERROR(SEARCH("D",W9)))</formula>
    </cfRule>
    <cfRule type="containsText" dxfId="560" priority="661" operator="containsText" text="C">
      <formula>NOT(ISERROR(SEARCH("C",W9)))</formula>
    </cfRule>
    <cfRule type="containsText" dxfId="559" priority="662" operator="containsText" text="R">
      <formula>NOT(ISERROR(SEARCH("R",W9)))</formula>
    </cfRule>
    <cfRule type="containsBlanks" dxfId="558" priority="663">
      <formula>LEN(TRIM(W9))=0</formula>
    </cfRule>
  </conditionalFormatting>
  <conditionalFormatting sqref="AF9:AT10 AV9:BB10 BD9:BN10 F9:V11 X9:X11 Z9:AD11 AF11:BD11 BF11:BP11">
    <cfRule type="expression" dxfId="557" priority="35">
      <formula>AND(F9&gt;=TODAY(), G9="A")</formula>
    </cfRule>
    <cfRule type="expression" dxfId="556" priority="68">
      <formula>AND(EDATE(F9,1),G9="C")</formula>
    </cfRule>
    <cfRule type="expression" dxfId="555" priority="69">
      <formula>AND(EDATE(F9,1), F9&gt;TODAY())</formula>
    </cfRule>
    <cfRule type="expression" dxfId="554" priority="70">
      <formula>AND(EDATE(F9,1),NOT(ISBLANK(F9)), F9&lt;TODAY())</formula>
    </cfRule>
    <cfRule type="containsText" dxfId="553" priority="71" operator="containsText" text="A">
      <formula>NOT(ISERROR(SEARCH("A",F9)))</formula>
    </cfRule>
    <cfRule type="containsText" dxfId="552" priority="72" operator="containsText" text="D">
      <formula>NOT(ISERROR(SEARCH("D",F9)))</formula>
    </cfRule>
    <cfRule type="containsText" dxfId="551" priority="73" operator="containsText" text="C">
      <formula>NOT(ISERROR(SEARCH("C",F9)))</formula>
    </cfRule>
    <cfRule type="containsText" dxfId="550" priority="74" operator="containsText" text="R">
      <formula>NOT(ISERROR(SEARCH("R",F9)))</formula>
    </cfRule>
    <cfRule type="containsBlanks" dxfId="549" priority="609">
      <formula>LEN(TRIM(F9))=0</formula>
    </cfRule>
  </conditionalFormatting>
  <conditionalFormatting sqref="AU9:AU10">
    <cfRule type="expression" dxfId="548" priority="753">
      <formula>AND(AU9&gt;=TODAY(), #REF!="A")</formula>
    </cfRule>
    <cfRule type="expression" dxfId="547" priority="754">
      <formula>AND(EDATE(AU9,1),#REF!="C")</formula>
    </cfRule>
    <cfRule type="expression" dxfId="546" priority="755">
      <formula>AND(EDATE(AU9,1), AU9&gt;TODAY())</formula>
    </cfRule>
    <cfRule type="expression" dxfId="545" priority="756">
      <formula>AND(EDATE(AU9,1),NOT(ISBLANK(AU9)), AU9&lt;TODAY())</formula>
    </cfRule>
    <cfRule type="containsText" dxfId="544" priority="757" operator="containsText" text="A">
      <formula>NOT(ISERROR(SEARCH("A",AU9)))</formula>
    </cfRule>
    <cfRule type="containsText" dxfId="543" priority="758" operator="containsText" text="D">
      <formula>NOT(ISERROR(SEARCH("D",AU9)))</formula>
    </cfRule>
    <cfRule type="containsText" dxfId="542" priority="759" operator="containsText" text="C">
      <formula>NOT(ISERROR(SEARCH("C",AU9)))</formula>
    </cfRule>
    <cfRule type="containsText" dxfId="541" priority="760" operator="containsText" text="R">
      <formula>NOT(ISERROR(SEARCH("R",AU9)))</formula>
    </cfRule>
    <cfRule type="containsBlanks" dxfId="540" priority="761">
      <formula>LEN(TRIM(AU9))=0</formula>
    </cfRule>
  </conditionalFormatting>
  <conditionalFormatting sqref="BC9:BC10 BE11">
    <cfRule type="expression" dxfId="539" priority="628">
      <formula>AND(BC9&gt;=TODAY(), BF9="A")</formula>
    </cfRule>
    <cfRule type="expression" dxfId="538" priority="629">
      <formula>AND(EDATE(BC9,1),BF9="C")</formula>
    </cfRule>
    <cfRule type="expression" dxfId="537" priority="630">
      <formula>AND(EDATE(BC9,1), BC9&gt;TODAY())</formula>
    </cfRule>
    <cfRule type="expression" dxfId="536" priority="631">
      <formula>AND(EDATE(BC9,1),NOT(ISBLANK(BC9)), BC9&lt;TODAY())</formula>
    </cfRule>
    <cfRule type="containsText" dxfId="535" priority="632" operator="containsText" text="A">
      <formula>NOT(ISERROR(SEARCH("A",BC9)))</formula>
    </cfRule>
    <cfRule type="containsText" dxfId="534" priority="633" operator="containsText" text="D">
      <formula>NOT(ISERROR(SEARCH("D",BC9)))</formula>
    </cfRule>
    <cfRule type="containsText" dxfId="533" priority="634" operator="containsText" text="C">
      <formula>NOT(ISERROR(SEARCH("C",BC9)))</formula>
    </cfRule>
    <cfRule type="containsText" dxfId="532" priority="635" operator="containsText" text="R">
      <formula>NOT(ISERROR(SEARCH("R",BC9)))</formula>
    </cfRule>
    <cfRule type="containsBlanks" dxfId="531" priority="636">
      <formula>LEN(TRIM(BC9))=0</formula>
    </cfRule>
  </conditionalFormatting>
  <conditionalFormatting sqref="BO9:BO10">
    <cfRule type="expression" dxfId="530" priority="807">
      <formula>AND(BO9&gt;=TODAY(), BR12="A")</formula>
    </cfRule>
    <cfRule type="expression" dxfId="529" priority="808">
      <formula>AND(EDATE(BO9,1),BR12="C")</formula>
    </cfRule>
    <cfRule type="expression" dxfId="528" priority="809">
      <formula>AND(EDATE(BO9,1), BO9&gt;TODAY())</formula>
    </cfRule>
    <cfRule type="expression" dxfId="527" priority="810">
      <formula>AND(EDATE(BO9,1),NOT(ISBLANK(BO9)), BO9&lt;TODAY())</formula>
    </cfRule>
    <cfRule type="containsText" dxfId="526" priority="811" operator="containsText" text="A">
      <formula>NOT(ISERROR(SEARCH("A",BO9)))</formula>
    </cfRule>
    <cfRule type="containsText" dxfId="525" priority="812" operator="containsText" text="D">
      <formula>NOT(ISERROR(SEARCH("D",BO9)))</formula>
    </cfRule>
    <cfRule type="containsText" dxfId="524" priority="813" operator="containsText" text="C">
      <formula>NOT(ISERROR(SEARCH("C",BO9)))</formula>
    </cfRule>
    <cfRule type="containsText" dxfId="523" priority="814" operator="containsText" text="R">
      <formula>NOT(ISERROR(SEARCH("R",BO9)))</formula>
    </cfRule>
    <cfRule type="containsBlanks" dxfId="522" priority="815">
      <formula>LEN(TRIM(BO9))=0</formula>
    </cfRule>
  </conditionalFormatting>
  <conditionalFormatting sqref="BQ11">
    <cfRule type="expression" dxfId="521" priority="664">
      <formula>AND(BQ11&gt;=TODAY(), BR14="A")</formula>
    </cfRule>
    <cfRule type="expression" dxfId="520" priority="665">
      <formula>AND(EDATE(BQ11,1),BR14="C")</formula>
    </cfRule>
    <cfRule type="expression" dxfId="519" priority="666">
      <formula>AND(EDATE(BQ11,1), BQ11&gt;TODAY())</formula>
    </cfRule>
    <cfRule type="expression" dxfId="518" priority="667">
      <formula>AND(EDATE(BQ11,1),NOT(ISBLANK(BQ11)), BQ11&lt;TODAY())</formula>
    </cfRule>
    <cfRule type="containsText" dxfId="517" priority="668" operator="containsText" text="A">
      <formula>NOT(ISERROR(SEARCH("A",BQ11)))</formula>
    </cfRule>
    <cfRule type="containsText" dxfId="516" priority="669" operator="containsText" text="D">
      <formula>NOT(ISERROR(SEARCH("D",BQ11)))</formula>
    </cfRule>
    <cfRule type="containsText" dxfId="515" priority="670" operator="containsText" text="C">
      <formula>NOT(ISERROR(SEARCH("C",BQ11)))</formula>
    </cfRule>
    <cfRule type="containsText" dxfId="514" priority="671" operator="containsText" text="R">
      <formula>NOT(ISERROR(SEARCH("R",BQ11)))</formula>
    </cfRule>
    <cfRule type="containsBlanks" dxfId="513" priority="672">
      <formula>LEN(TRIM(BQ11))=0</formula>
    </cfRule>
  </conditionalFormatting>
  <dataValidations count="1">
    <dataValidation type="list" allowBlank="1" showInputMessage="1" showErrorMessage="1" sqref="G9:G11 K9:K11 AA9:AA11 AC9:AC11 I9:I11 AE9:AE11 AG9:AG11 AI9:AI11 AK9:AK11 AM9:AM11 AO9:AO11 AQ9:AQ11 AS9:AS11 AU9:AU11 S9:S11 M9:M11 Y9:Y11 O9:O11 U9:U11 W9:W11 Q9:Q11 BE9:BE11 AW9:AW11 AY9:AY11 BQ11 BO9:BO11 BM9:BM11 BK9:BK11 BG9:BG11 BI9:BI11 BA9:BA11 BC9:BC11" xr:uid="{AC8396D3-D576-40D4-9F3E-1BD5FD1B1805}">
      <formula1>Status_Codes</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47783-8AFC-4FBC-AED1-8512BBBEB99E}">
  <dimension ref="B1:CE14"/>
  <sheetViews>
    <sheetView tabSelected="1" topLeftCell="O1" zoomScale="84" workbookViewId="0">
      <selection activeCell="BH5" sqref="BH5:BK5"/>
    </sheetView>
  </sheetViews>
  <sheetFormatPr defaultColWidth="9.140625" defaultRowHeight="15" customHeight="1" outlineLevelRow="1"/>
  <cols>
    <col min="1" max="1" width="1.42578125" style="1" customWidth="1"/>
    <col min="2" max="2" width="28" style="1" customWidth="1"/>
    <col min="3" max="3" width="10.5703125" style="1" customWidth="1"/>
    <col min="4" max="4" width="22.42578125" style="2" customWidth="1"/>
    <col min="5" max="5" width="14" style="1" customWidth="1"/>
    <col min="6" max="6" width="15.28515625" style="1" customWidth="1"/>
    <col min="7" max="7" width="12.5703125" style="1" customWidth="1"/>
    <col min="8" max="8" width="9.7109375" style="2" customWidth="1"/>
    <col min="9" max="9" width="5.140625" style="1" customWidth="1"/>
    <col min="10" max="10" width="12.28515625" style="1" customWidth="1"/>
    <col min="11" max="11" width="6.42578125" style="1" customWidth="1"/>
    <col min="12" max="12" width="7.42578125" style="1" bestFit="1" customWidth="1"/>
    <col min="13" max="13" width="9" style="1" customWidth="1"/>
    <col min="14" max="14" width="7.42578125" style="1" bestFit="1" customWidth="1"/>
    <col min="15" max="15" width="9.42578125" style="1" customWidth="1"/>
    <col min="16" max="16" width="15.7109375" style="1" customWidth="1"/>
    <col min="17" max="17" width="4.42578125" style="1" customWidth="1"/>
    <col min="18" max="18" width="16.140625" style="1" customWidth="1"/>
    <col min="19" max="19" width="3.28515625" style="1" customWidth="1"/>
    <col min="20" max="20" width="15" style="1" customWidth="1"/>
    <col min="21" max="21" width="4.140625" style="1" customWidth="1"/>
    <col min="22" max="22" width="16.85546875" style="1" customWidth="1"/>
    <col min="23" max="23" width="3.28515625" style="1" customWidth="1"/>
    <col min="24" max="24" width="15.85546875" style="1" customWidth="1"/>
    <col min="25" max="25" width="3.85546875" style="1" customWidth="1"/>
    <col min="26" max="26" width="14.5703125" style="1" customWidth="1"/>
    <col min="27" max="27" width="3.140625" style="1" customWidth="1"/>
    <col min="28" max="28" width="15" style="1" customWidth="1"/>
    <col min="29" max="29" width="3.140625" style="1" customWidth="1"/>
    <col min="30" max="30" width="13.85546875" style="1" customWidth="1"/>
    <col min="31" max="31" width="2.7109375" style="1" customWidth="1"/>
    <col min="32" max="32" width="12.5703125" style="1" customWidth="1"/>
    <col min="33" max="33" width="3.28515625" style="1" customWidth="1"/>
    <col min="34" max="34" width="12.42578125" style="1" customWidth="1"/>
    <col min="35" max="35" width="3.42578125" style="1" customWidth="1"/>
    <col min="36" max="36" width="13.5703125" style="1" customWidth="1"/>
    <col min="37" max="37" width="3.42578125" style="1" customWidth="1"/>
    <col min="38" max="38" width="13" style="1" customWidth="1"/>
    <col min="39" max="39" width="3.42578125" style="1" customWidth="1"/>
    <col min="40" max="41" width="9" style="1" customWidth="1"/>
    <col min="42" max="42" width="15.28515625" style="1" customWidth="1"/>
    <col min="43" max="43" width="4.28515625" style="1" customWidth="1"/>
    <col min="44" max="44" width="15.28515625" style="1" customWidth="1"/>
    <col min="45" max="45" width="4.28515625" style="1" customWidth="1"/>
    <col min="46" max="46" width="14.5703125" style="1" customWidth="1"/>
    <col min="47" max="47" width="4.28515625" style="1" customWidth="1"/>
    <col min="48" max="48" width="15.140625" style="1" customWidth="1"/>
    <col min="49" max="49" width="6" style="1" customWidth="1"/>
    <col min="50" max="50" width="13.85546875" style="57" customWidth="1"/>
    <col min="51" max="51" width="3" style="57" customWidth="1"/>
    <col min="52" max="52" width="12.5703125" style="1" customWidth="1"/>
    <col min="53" max="53" width="3.140625" style="1" customWidth="1"/>
    <col min="54" max="54" width="8.5703125" style="1" customWidth="1"/>
    <col min="55" max="55" width="4" style="1" customWidth="1"/>
    <col min="56" max="56" width="13.28515625" style="1" customWidth="1"/>
    <col min="57" max="57" width="3.42578125" style="1" customWidth="1"/>
    <col min="58" max="58" width="13.140625" style="1" customWidth="1"/>
    <col min="59" max="59" width="2" style="1" bestFit="1" customWidth="1"/>
    <col min="60" max="60" width="20.28515625" style="1" customWidth="1"/>
    <col min="61" max="61" width="2" style="1" bestFit="1" customWidth="1"/>
    <col min="62" max="62" width="17.28515625" style="1" customWidth="1"/>
    <col min="63" max="63" width="3.42578125" style="1" customWidth="1"/>
    <col min="64" max="64" width="13.7109375" style="1" customWidth="1"/>
    <col min="65" max="65" width="4.140625" style="1" customWidth="1"/>
    <col min="66" max="66" width="19" style="1" customWidth="1"/>
    <col min="67" max="67" width="2.5703125" style="1" customWidth="1"/>
    <col min="68" max="68" width="15.5703125" style="1" customWidth="1"/>
    <col min="69" max="69" width="2.5703125" style="1" customWidth="1"/>
    <col min="70" max="16384" width="9.140625" style="1"/>
  </cols>
  <sheetData>
    <row r="1" spans="2:83" ht="18.75">
      <c r="B1" s="5" t="s">
        <v>4</v>
      </c>
      <c r="P1" s="83"/>
      <c r="AO1" s="63"/>
      <c r="AP1" s="63"/>
      <c r="AQ1" s="63"/>
      <c r="AR1" s="63"/>
      <c r="AS1" s="63"/>
      <c r="AT1" s="63"/>
      <c r="AU1" s="63"/>
      <c r="AV1" s="63"/>
      <c r="AW1" s="63"/>
      <c r="AX1" s="64"/>
      <c r="AY1" s="64"/>
      <c r="AZ1" s="63"/>
      <c r="BA1" s="63"/>
      <c r="BB1" s="63"/>
      <c r="BC1" s="63"/>
      <c r="BD1" s="63"/>
      <c r="BE1" s="63"/>
      <c r="BF1" s="63"/>
      <c r="BG1" s="63"/>
      <c r="BH1" s="63"/>
      <c r="BI1" s="63"/>
      <c r="BJ1" s="63"/>
      <c r="BK1" s="63"/>
      <c r="BL1" s="63"/>
      <c r="BM1" s="63"/>
      <c r="BN1" s="63"/>
      <c r="BO1" s="63"/>
      <c r="BP1" s="63"/>
      <c r="BQ1" s="63"/>
      <c r="BR1" s="63"/>
    </row>
    <row r="2" spans="2:83" ht="18.75">
      <c r="B2" s="5"/>
      <c r="C2" s="4">
        <v>45698</v>
      </c>
      <c r="D2" s="3" t="s">
        <v>88</v>
      </c>
      <c r="AF2" s="12"/>
      <c r="AG2" s="12"/>
      <c r="AO2" s="63"/>
      <c r="AP2" s="65"/>
      <c r="AQ2" s="65"/>
      <c r="AR2" s="65"/>
      <c r="AS2" s="65"/>
      <c r="AT2" s="65"/>
      <c r="AU2" s="65"/>
      <c r="AV2" s="65"/>
      <c r="AW2" s="65"/>
      <c r="AX2" s="66"/>
      <c r="AY2" s="66"/>
      <c r="AZ2" s="63"/>
      <c r="BA2" s="63"/>
      <c r="BB2" s="63"/>
      <c r="BC2" s="63"/>
      <c r="BD2" s="65"/>
      <c r="BE2" s="65"/>
      <c r="BF2" s="65"/>
      <c r="BG2" s="65"/>
      <c r="BH2" s="65"/>
      <c r="BI2" s="65"/>
      <c r="BJ2" s="63"/>
      <c r="BK2" s="63"/>
      <c r="BL2" s="65"/>
      <c r="BM2" s="65"/>
      <c r="BN2" s="65"/>
      <c r="BO2" s="65"/>
      <c r="BP2" s="65"/>
      <c r="BQ2" s="65"/>
      <c r="BR2" s="63"/>
    </row>
    <row r="3" spans="2:83" ht="30.75">
      <c r="B3" s="1" t="s">
        <v>6</v>
      </c>
      <c r="C3" s="4">
        <v>46098</v>
      </c>
      <c r="D3" s="3" t="s">
        <v>89</v>
      </c>
      <c r="F3" s="22" t="s">
        <v>90</v>
      </c>
      <c r="G3" s="30" t="s">
        <v>9</v>
      </c>
      <c r="H3" s="19" t="s">
        <v>1</v>
      </c>
      <c r="I3" s="48" t="s">
        <v>11</v>
      </c>
      <c r="J3" s="49" t="s">
        <v>3</v>
      </c>
      <c r="K3" s="28" t="s">
        <v>12</v>
      </c>
      <c r="L3" s="23" t="s">
        <v>2</v>
      </c>
      <c r="M3" s="29" t="s">
        <v>8</v>
      </c>
      <c r="N3" s="17" t="s">
        <v>0</v>
      </c>
      <c r="X3" s="55" t="s">
        <v>14</v>
      </c>
      <c r="Y3" s="55" t="s">
        <v>15</v>
      </c>
      <c r="Z3" s="56" t="s">
        <v>91</v>
      </c>
      <c r="AA3" s="54" t="s">
        <v>92</v>
      </c>
      <c r="AB3" s="54" t="s">
        <v>93</v>
      </c>
      <c r="AC3" s="54" t="s">
        <v>94</v>
      </c>
      <c r="AD3" s="59" t="s">
        <v>95</v>
      </c>
      <c r="AE3" s="59" t="s">
        <v>96</v>
      </c>
      <c r="AF3" s="60" t="s">
        <v>97</v>
      </c>
      <c r="AG3" s="59" t="s">
        <v>98</v>
      </c>
      <c r="AO3" s="63"/>
      <c r="AP3" s="63"/>
      <c r="AQ3" s="63"/>
      <c r="AR3" s="63"/>
      <c r="AS3" s="63"/>
      <c r="AT3" s="63"/>
      <c r="AU3" s="63"/>
      <c r="AV3" s="63"/>
      <c r="AW3" s="63"/>
      <c r="AX3" s="67"/>
      <c r="AY3" s="67"/>
      <c r="AZ3" s="68" t="s">
        <v>91</v>
      </c>
      <c r="BA3" s="68" t="s">
        <v>92</v>
      </c>
      <c r="BB3" s="68"/>
      <c r="BC3" s="68"/>
      <c r="BD3" s="63"/>
      <c r="BE3" s="63"/>
      <c r="BF3" s="65"/>
      <c r="BG3" s="65"/>
      <c r="BH3" s="65"/>
      <c r="BI3" s="65"/>
      <c r="BJ3" s="69"/>
      <c r="BK3" s="69"/>
      <c r="BL3" s="65"/>
      <c r="BM3" s="65"/>
      <c r="BN3" s="65"/>
      <c r="BO3" s="65"/>
      <c r="BP3" s="65"/>
      <c r="BQ3" s="65"/>
      <c r="BR3" s="63"/>
    </row>
    <row r="4" spans="2:83" customFormat="1" ht="35.1" customHeight="1">
      <c r="AX4" s="58"/>
      <c r="AY4" s="58"/>
    </row>
    <row r="5" spans="2:83" ht="114" customHeight="1">
      <c r="B5" s="2"/>
      <c r="C5" s="86"/>
      <c r="D5" s="86"/>
      <c r="E5" s="102" t="s">
        <v>31</v>
      </c>
      <c r="F5" s="103"/>
      <c r="G5" s="104"/>
      <c r="H5" s="100" t="s">
        <v>99</v>
      </c>
      <c r="I5" s="100"/>
      <c r="J5" s="101" t="s">
        <v>100</v>
      </c>
      <c r="K5" s="101"/>
      <c r="L5" s="101" t="s">
        <v>37</v>
      </c>
      <c r="M5" s="101"/>
      <c r="N5" s="105" t="s">
        <v>101</v>
      </c>
      <c r="O5" s="105"/>
      <c r="P5" s="101" t="s">
        <v>102</v>
      </c>
      <c r="Q5" s="101"/>
      <c r="R5" s="101" t="s">
        <v>103</v>
      </c>
      <c r="S5" s="101"/>
      <c r="T5" s="109" t="s">
        <v>104</v>
      </c>
      <c r="U5" s="107"/>
      <c r="V5" s="106" t="s">
        <v>105</v>
      </c>
      <c r="W5" s="107"/>
      <c r="X5" s="101" t="s">
        <v>106</v>
      </c>
      <c r="Y5" s="101"/>
      <c r="Z5" s="101" t="s">
        <v>107</v>
      </c>
      <c r="AA5" s="101"/>
      <c r="AB5" s="101" t="s">
        <v>108</v>
      </c>
      <c r="AC5" s="101"/>
      <c r="AD5" s="108" t="s">
        <v>109</v>
      </c>
      <c r="AE5" s="108"/>
      <c r="AF5" s="105" t="s">
        <v>110</v>
      </c>
      <c r="AG5" s="105"/>
      <c r="AH5" s="105" t="s">
        <v>111</v>
      </c>
      <c r="AI5" s="105"/>
      <c r="AJ5" s="105" t="s">
        <v>112</v>
      </c>
      <c r="AK5" s="105"/>
      <c r="AL5" s="110" t="s">
        <v>113</v>
      </c>
      <c r="AM5" s="101"/>
      <c r="AN5" s="101" t="s">
        <v>114</v>
      </c>
      <c r="AO5" s="101"/>
      <c r="AP5" s="101" t="s">
        <v>115</v>
      </c>
      <c r="AQ5" s="101"/>
      <c r="AR5" s="101" t="s">
        <v>116</v>
      </c>
      <c r="AS5" s="101"/>
      <c r="AT5" s="111" t="s">
        <v>104</v>
      </c>
      <c r="AU5" s="112"/>
      <c r="AV5" s="111" t="s">
        <v>105</v>
      </c>
      <c r="AW5" s="106"/>
      <c r="AX5" s="101" t="s">
        <v>117</v>
      </c>
      <c r="AY5" s="101"/>
      <c r="AZ5" s="101" t="s">
        <v>107</v>
      </c>
      <c r="BA5" s="101"/>
      <c r="BB5" s="101" t="s">
        <v>118</v>
      </c>
      <c r="BC5" s="101"/>
      <c r="BD5" s="101" t="s">
        <v>108</v>
      </c>
      <c r="BE5" s="101"/>
      <c r="BF5" s="108" t="s">
        <v>119</v>
      </c>
      <c r="BG5" s="108"/>
      <c r="BH5" s="105" t="s">
        <v>110</v>
      </c>
      <c r="BI5" s="105"/>
      <c r="BJ5" s="105" t="s">
        <v>111</v>
      </c>
      <c r="BK5" s="105"/>
      <c r="BL5" s="101" t="s">
        <v>120</v>
      </c>
      <c r="BM5" s="101"/>
      <c r="BN5" s="101" t="s">
        <v>121</v>
      </c>
      <c r="BO5" s="101"/>
      <c r="BP5" s="101" t="s">
        <v>122</v>
      </c>
      <c r="BQ5" s="101"/>
    </row>
    <row r="6" spans="2:83" s="36" customFormat="1" ht="15.75" customHeight="1" outlineLevel="1">
      <c r="B6" s="34"/>
      <c r="C6" s="113" t="s">
        <v>62</v>
      </c>
      <c r="D6" s="114"/>
      <c r="E6" s="72"/>
      <c r="F6" s="115" t="s">
        <v>123</v>
      </c>
      <c r="G6" s="115"/>
      <c r="H6" s="115" t="s">
        <v>15</v>
      </c>
      <c r="I6" s="115"/>
      <c r="J6" s="115" t="s">
        <v>15</v>
      </c>
      <c r="K6" s="115"/>
      <c r="L6" s="115" t="s">
        <v>124</v>
      </c>
      <c r="M6" s="115"/>
      <c r="N6" s="115" t="s">
        <v>125</v>
      </c>
      <c r="O6" s="115"/>
      <c r="P6" s="115" t="s">
        <v>126</v>
      </c>
      <c r="Q6" s="115"/>
      <c r="R6" s="115" t="s">
        <v>127</v>
      </c>
      <c r="S6" s="115"/>
      <c r="T6" s="115" t="s">
        <v>128</v>
      </c>
      <c r="U6" s="115"/>
      <c r="V6" s="116" t="s">
        <v>129</v>
      </c>
      <c r="W6" s="117"/>
      <c r="X6" s="115" t="s">
        <v>96</v>
      </c>
      <c r="Y6" s="115"/>
      <c r="Z6" s="115" t="s">
        <v>130</v>
      </c>
      <c r="AA6" s="115"/>
      <c r="AB6" s="115" t="s">
        <v>15</v>
      </c>
      <c r="AC6" s="115"/>
      <c r="AD6" s="115" t="s">
        <v>131</v>
      </c>
      <c r="AE6" s="115"/>
      <c r="AF6" s="116" t="s">
        <v>98</v>
      </c>
      <c r="AG6" s="117"/>
      <c r="AH6" s="116" t="s">
        <v>15</v>
      </c>
      <c r="AI6" s="117"/>
      <c r="AJ6" s="119" t="s">
        <v>124</v>
      </c>
      <c r="AK6" s="120"/>
      <c r="AL6" s="115" t="s">
        <v>125</v>
      </c>
      <c r="AM6" s="115"/>
      <c r="AN6" s="115" t="s">
        <v>92</v>
      </c>
      <c r="AO6" s="115"/>
      <c r="AP6" s="118" t="s">
        <v>126</v>
      </c>
      <c r="AQ6" s="118"/>
      <c r="AR6" s="85" t="s">
        <v>132</v>
      </c>
      <c r="AS6" s="85"/>
      <c r="AT6" s="125" t="s">
        <v>128</v>
      </c>
      <c r="AU6" s="126"/>
      <c r="AV6" s="116" t="s">
        <v>129</v>
      </c>
      <c r="AW6" s="117"/>
      <c r="AX6" s="115" t="s">
        <v>96</v>
      </c>
      <c r="AY6" s="115"/>
      <c r="AZ6" s="115" t="s">
        <v>130</v>
      </c>
      <c r="BA6" s="115"/>
      <c r="BB6" s="115" t="s">
        <v>133</v>
      </c>
      <c r="BC6" s="115"/>
      <c r="BD6" s="115" t="s">
        <v>15</v>
      </c>
      <c r="BE6" s="115"/>
      <c r="BF6" s="115" t="s">
        <v>131</v>
      </c>
      <c r="BG6" s="115"/>
      <c r="BH6" s="115" t="s">
        <v>92</v>
      </c>
      <c r="BI6" s="115"/>
      <c r="BJ6" s="115" t="s">
        <v>15</v>
      </c>
      <c r="BK6" s="115"/>
      <c r="BL6" s="115" t="s">
        <v>125</v>
      </c>
      <c r="BM6" s="115"/>
      <c r="BN6" s="115" t="s">
        <v>125</v>
      </c>
      <c r="BO6" s="115"/>
      <c r="BP6" s="115" t="s">
        <v>125</v>
      </c>
      <c r="BQ6" s="115"/>
    </row>
    <row r="7" spans="2:83" s="12" customFormat="1" ht="14.45" customHeight="1" outlineLevel="1">
      <c r="B7" s="1"/>
      <c r="C7" s="1"/>
      <c r="D7" s="2"/>
      <c r="E7" s="73" t="s">
        <v>74</v>
      </c>
      <c r="F7" s="122">
        <v>-93</v>
      </c>
      <c r="G7" s="122"/>
      <c r="H7" s="122">
        <v>-83</v>
      </c>
      <c r="I7" s="122"/>
      <c r="J7" s="122">
        <v>-50</v>
      </c>
      <c r="K7" s="122"/>
      <c r="L7" s="122">
        <v>-49</v>
      </c>
      <c r="M7" s="122"/>
      <c r="N7" s="123">
        <v>-47</v>
      </c>
      <c r="O7" s="124"/>
      <c r="P7" s="122">
        <v>-44</v>
      </c>
      <c r="Q7" s="122"/>
      <c r="R7" s="122">
        <v>-41</v>
      </c>
      <c r="S7" s="122"/>
      <c r="T7" s="122">
        <v>-41</v>
      </c>
      <c r="U7" s="122"/>
      <c r="V7" s="123">
        <v>-35</v>
      </c>
      <c r="W7" s="124"/>
      <c r="X7" s="122">
        <v>-34</v>
      </c>
      <c r="Y7" s="122"/>
      <c r="Z7" s="122">
        <v>-30</v>
      </c>
      <c r="AA7" s="122"/>
      <c r="AB7" s="122">
        <v>-28</v>
      </c>
      <c r="AC7" s="122"/>
      <c r="AD7" s="122">
        <v>-26</v>
      </c>
      <c r="AE7" s="122"/>
      <c r="AF7" s="123">
        <v>-23</v>
      </c>
      <c r="AG7" s="124"/>
      <c r="AH7" s="123">
        <v>-23</v>
      </c>
      <c r="AI7" s="124"/>
      <c r="AJ7" s="122">
        <v>-22</v>
      </c>
      <c r="AK7" s="122"/>
      <c r="AL7" s="122">
        <v>-21</v>
      </c>
      <c r="AM7" s="122"/>
      <c r="AN7" s="122">
        <v>-20</v>
      </c>
      <c r="AO7" s="122"/>
      <c r="AP7" s="122">
        <v>-17</v>
      </c>
      <c r="AQ7" s="122"/>
      <c r="AR7" s="122">
        <v>-16</v>
      </c>
      <c r="AS7" s="122"/>
      <c r="AT7" s="122">
        <v>-16</v>
      </c>
      <c r="AU7" s="122"/>
      <c r="AV7" s="123">
        <v>-12</v>
      </c>
      <c r="AW7" s="124"/>
      <c r="AX7" s="121">
        <v>-7</v>
      </c>
      <c r="AY7" s="121"/>
      <c r="AZ7" s="122">
        <v>-6</v>
      </c>
      <c r="BA7" s="122"/>
      <c r="BB7" s="122">
        <v>-4</v>
      </c>
      <c r="BC7" s="122"/>
      <c r="BD7" s="122">
        <v>-3</v>
      </c>
      <c r="BE7" s="122"/>
      <c r="BF7" s="122">
        <v>0</v>
      </c>
      <c r="BG7" s="122"/>
      <c r="BH7" s="122">
        <v>5</v>
      </c>
      <c r="BI7" s="122"/>
      <c r="BJ7" s="122">
        <v>5</v>
      </c>
      <c r="BK7" s="122"/>
      <c r="BL7" s="122">
        <v>7</v>
      </c>
      <c r="BM7" s="122"/>
      <c r="BN7" s="122">
        <v>9</v>
      </c>
      <c r="BO7" s="122"/>
      <c r="BP7" s="122">
        <v>10</v>
      </c>
      <c r="BQ7" s="122"/>
    </row>
    <row r="8" spans="2:83" s="12" customFormat="1" outlineLevel="1">
      <c r="B8" s="6" t="s">
        <v>75</v>
      </c>
      <c r="C8" s="6" t="s">
        <v>76</v>
      </c>
      <c r="D8" s="70" t="s">
        <v>77</v>
      </c>
      <c r="E8" s="74" t="s">
        <v>78</v>
      </c>
      <c r="F8" s="75" t="s">
        <v>79</v>
      </c>
      <c r="G8" s="75" t="s">
        <v>80</v>
      </c>
      <c r="H8" s="75" t="s">
        <v>79</v>
      </c>
      <c r="I8" s="75" t="s">
        <v>80</v>
      </c>
      <c r="J8" s="75" t="s">
        <v>79</v>
      </c>
      <c r="K8" s="75" t="s">
        <v>80</v>
      </c>
      <c r="L8" s="75" t="s">
        <v>79</v>
      </c>
      <c r="M8" s="75" t="s">
        <v>80</v>
      </c>
      <c r="N8" s="75" t="s">
        <v>79</v>
      </c>
      <c r="O8" s="75" t="s">
        <v>80</v>
      </c>
      <c r="P8" s="75" t="s">
        <v>79</v>
      </c>
      <c r="Q8" s="75" t="s">
        <v>80</v>
      </c>
      <c r="R8" s="75" t="s">
        <v>79</v>
      </c>
      <c r="S8" s="75" t="s">
        <v>80</v>
      </c>
      <c r="T8" s="75" t="s">
        <v>79</v>
      </c>
      <c r="U8" s="75" t="s">
        <v>80</v>
      </c>
      <c r="V8" s="75" t="s">
        <v>79</v>
      </c>
      <c r="W8" s="75" t="s">
        <v>80</v>
      </c>
      <c r="X8" s="75" t="s">
        <v>79</v>
      </c>
      <c r="Y8" s="75" t="s">
        <v>80</v>
      </c>
      <c r="Z8" s="75" t="s">
        <v>79</v>
      </c>
      <c r="AA8" s="75" t="s">
        <v>80</v>
      </c>
      <c r="AB8" s="75" t="s">
        <v>79</v>
      </c>
      <c r="AC8" s="75" t="s">
        <v>80</v>
      </c>
      <c r="AD8" s="75" t="s">
        <v>79</v>
      </c>
      <c r="AE8" s="75" t="s">
        <v>80</v>
      </c>
      <c r="AF8" s="75" t="s">
        <v>79</v>
      </c>
      <c r="AG8" s="75" t="s">
        <v>80</v>
      </c>
      <c r="AH8" s="75" t="s">
        <v>79</v>
      </c>
      <c r="AI8" s="75" t="s">
        <v>80</v>
      </c>
      <c r="AJ8" s="75" t="s">
        <v>79</v>
      </c>
      <c r="AK8" s="75" t="s">
        <v>80</v>
      </c>
      <c r="AL8" s="75" t="s">
        <v>79</v>
      </c>
      <c r="AM8" s="75" t="s">
        <v>80</v>
      </c>
      <c r="AN8" s="75" t="s">
        <v>79</v>
      </c>
      <c r="AO8" s="75" t="s">
        <v>80</v>
      </c>
      <c r="AP8" s="75" t="s">
        <v>79</v>
      </c>
      <c r="AQ8" s="75" t="s">
        <v>80</v>
      </c>
      <c r="AR8" s="75" t="s">
        <v>79</v>
      </c>
      <c r="AS8" s="75" t="s">
        <v>80</v>
      </c>
      <c r="AT8" s="75" t="s">
        <v>79</v>
      </c>
      <c r="AU8" s="75" t="s">
        <v>80</v>
      </c>
      <c r="AV8" s="75" t="s">
        <v>79</v>
      </c>
      <c r="AW8" s="75" t="s">
        <v>80</v>
      </c>
      <c r="AX8" s="75" t="s">
        <v>79</v>
      </c>
      <c r="AY8" s="75" t="s">
        <v>80</v>
      </c>
      <c r="AZ8" s="75" t="s">
        <v>79</v>
      </c>
      <c r="BA8" s="75" t="s">
        <v>80</v>
      </c>
      <c r="BB8" s="75" t="s">
        <v>79</v>
      </c>
      <c r="BC8" s="75" t="s">
        <v>80</v>
      </c>
      <c r="BD8" s="75" t="s">
        <v>79</v>
      </c>
      <c r="BE8" s="75" t="s">
        <v>80</v>
      </c>
      <c r="BF8" s="75" t="s">
        <v>79</v>
      </c>
      <c r="BG8" s="75" t="s">
        <v>80</v>
      </c>
      <c r="BH8" s="75" t="s">
        <v>79</v>
      </c>
      <c r="BI8" s="75" t="s">
        <v>80</v>
      </c>
      <c r="BJ8" s="75" t="s">
        <v>79</v>
      </c>
      <c r="BK8" s="75" t="s">
        <v>80</v>
      </c>
      <c r="BL8" s="75" t="s">
        <v>79</v>
      </c>
      <c r="BM8" s="75" t="s">
        <v>80</v>
      </c>
      <c r="BN8" s="75" t="s">
        <v>79</v>
      </c>
      <c r="BO8" s="75" t="s">
        <v>80</v>
      </c>
      <c r="BP8" s="75" t="s">
        <v>79</v>
      </c>
      <c r="BQ8" s="75" t="s">
        <v>80</v>
      </c>
    </row>
    <row r="9" spans="2:83" ht="30.75">
      <c r="B9" s="52" t="s">
        <v>134</v>
      </c>
      <c r="C9" s="7" t="s">
        <v>135</v>
      </c>
      <c r="D9" s="84" t="s">
        <v>136</v>
      </c>
      <c r="E9" s="76">
        <v>46098</v>
      </c>
      <c r="F9" s="77">
        <f>WORKDAY($E9,F$7, Blackout_Dates)</f>
        <v>45967</v>
      </c>
      <c r="G9" s="78" t="s">
        <v>1</v>
      </c>
      <c r="H9" s="77">
        <f>WORKDAY($E9,H$7, Blackout_Dates)</f>
        <v>45981</v>
      </c>
      <c r="I9" s="78" t="s">
        <v>1</v>
      </c>
      <c r="J9" s="77">
        <f>WORKDAY($E9,J$7, Blackout_Dates)</f>
        <v>46028</v>
      </c>
      <c r="K9" s="78" t="s">
        <v>1</v>
      </c>
      <c r="L9" s="77">
        <f>WORKDAY($E9,L$7, Blackout_Dates)</f>
        <v>46029</v>
      </c>
      <c r="M9" s="78" t="s">
        <v>1</v>
      </c>
      <c r="N9" s="77">
        <f>WORKDAY($E9,N$7, Blackout_Dates)</f>
        <v>46031</v>
      </c>
      <c r="O9" s="78" t="s">
        <v>1</v>
      </c>
      <c r="P9" s="77">
        <f>WORKDAY($E9,P$7, Blackout_Dates)</f>
        <v>46036</v>
      </c>
      <c r="Q9" s="78" t="s">
        <v>1</v>
      </c>
      <c r="R9" s="77">
        <f>WORKDAY($E9,R$7, Blackout_Dates)</f>
        <v>46041</v>
      </c>
      <c r="S9" s="78" t="s">
        <v>1</v>
      </c>
      <c r="T9" s="77">
        <f>WORKDAY($E9,T$7, Blackout_Dates)</f>
        <v>46041</v>
      </c>
      <c r="U9" s="78" t="s">
        <v>0</v>
      </c>
      <c r="V9" s="77">
        <f>WORKDAY($E9,V$7, Blackout_Dates)</f>
        <v>46049</v>
      </c>
      <c r="W9" s="78" t="s">
        <v>0</v>
      </c>
      <c r="X9" s="77">
        <f>WORKDAY($E9,X$7, Blackout_Dates)</f>
        <v>46050</v>
      </c>
      <c r="Y9" s="78" t="s">
        <v>2</v>
      </c>
      <c r="Z9" s="77">
        <f>WORKDAY($E9,Z$7, Blackout_Dates)</f>
        <v>46056</v>
      </c>
      <c r="AA9" s="78" t="s">
        <v>2</v>
      </c>
      <c r="AB9" s="77">
        <f>WORKDAY($E9,AB$7, Blackout_Dates)</f>
        <v>46058</v>
      </c>
      <c r="AC9" s="78" t="s">
        <v>2</v>
      </c>
      <c r="AD9" s="77">
        <f>WORKDAY($E9,AD$7, Blackout_Dates)</f>
        <v>46062</v>
      </c>
      <c r="AE9" s="78" t="s">
        <v>2</v>
      </c>
      <c r="AF9" s="77">
        <f>WORKDAY($E9,AF$7, Blackout_Dates)</f>
        <v>46065</v>
      </c>
      <c r="AG9" s="78" t="s">
        <v>2</v>
      </c>
      <c r="AH9" s="77">
        <f>WORKDAY($E9,AH$7, Blackout_Dates)</f>
        <v>46065</v>
      </c>
      <c r="AI9" s="78" t="s">
        <v>2</v>
      </c>
      <c r="AJ9" s="77">
        <f>WORKDAY($E9,AJ$7, Blackout_Dates)</f>
        <v>46066</v>
      </c>
      <c r="AK9" s="78" t="s">
        <v>2</v>
      </c>
      <c r="AL9" s="77">
        <f>WORKDAY($E9,AL$7, Blackout_Dates)</f>
        <v>46069</v>
      </c>
      <c r="AM9" s="78" t="s">
        <v>2</v>
      </c>
      <c r="AN9" s="77">
        <f>WORKDAY($E9,AN$7, Blackout_Dates)</f>
        <v>46070</v>
      </c>
      <c r="AO9" s="78" t="s">
        <v>2</v>
      </c>
      <c r="AP9" s="77">
        <f>WORKDAY($E9,AP$7, Blackout_Dates)</f>
        <v>46073</v>
      </c>
      <c r="AQ9" s="78" t="s">
        <v>1</v>
      </c>
      <c r="AR9" s="77">
        <f>WORKDAY($E9,AR$7, Blackout_Dates)</f>
        <v>46076</v>
      </c>
      <c r="AS9" s="78" t="s">
        <v>2</v>
      </c>
      <c r="AT9" s="77">
        <f>WORKDAY($E9,AT$7, Blackout_Dates)</f>
        <v>46076</v>
      </c>
      <c r="AU9" s="78" t="s">
        <v>2</v>
      </c>
      <c r="AV9" s="77">
        <f>WORKDAY($E9,AV$7, Blackout_Dates)</f>
        <v>46080</v>
      </c>
      <c r="AW9" s="78" t="s">
        <v>2</v>
      </c>
      <c r="AX9" s="77">
        <f>WORKDAY($E9,AX$7, Blackout_Dates)</f>
        <v>46087</v>
      </c>
      <c r="AY9" s="78" t="s">
        <v>2</v>
      </c>
      <c r="AZ9" s="77">
        <f>WORKDAY($E9,AZ$7, Blackout_Dates)</f>
        <v>46090</v>
      </c>
      <c r="BA9" s="78" t="s">
        <v>2</v>
      </c>
      <c r="BB9" s="77">
        <f>WORKDAY($E9,BB$7, Blackout_Dates)</f>
        <v>46092</v>
      </c>
      <c r="BC9" s="78" t="s">
        <v>2</v>
      </c>
      <c r="BD9" s="77">
        <f>WORKDAY($E9,BD$7, Blackout_Dates)</f>
        <v>46093</v>
      </c>
      <c r="BE9" s="78" t="s">
        <v>2</v>
      </c>
      <c r="BF9" s="77">
        <f>WORKDAY($E9,BF$7, Blackout_Dates)</f>
        <v>46098</v>
      </c>
      <c r="BG9" s="78" t="s">
        <v>2</v>
      </c>
      <c r="BH9" s="77">
        <f>WORKDAY($E9,BH$7, Blackout_Dates)</f>
        <v>46105</v>
      </c>
      <c r="BI9" s="78" t="s">
        <v>2</v>
      </c>
      <c r="BJ9" s="77">
        <f>WORKDAY($E9,BJ$7, Blackout_Dates)</f>
        <v>46105</v>
      </c>
      <c r="BK9" s="78" t="s">
        <v>2</v>
      </c>
      <c r="BL9" s="77">
        <f>WORKDAY($E9,BL$7, Blackout_Dates)</f>
        <v>46107</v>
      </c>
      <c r="BM9" s="78" t="s">
        <v>2</v>
      </c>
      <c r="BN9" s="77">
        <f>WORKDAY($E9,BN$7, Blackout_Dates)</f>
        <v>46111</v>
      </c>
      <c r="BO9" s="78" t="s">
        <v>2</v>
      </c>
      <c r="BP9" s="77">
        <f>WORKDAY($E9,BP$7, Blackout_Dates)</f>
        <v>46112</v>
      </c>
      <c r="BQ9" s="78" t="s">
        <v>2</v>
      </c>
    </row>
    <row r="10" spans="2:83" s="7" customFormat="1">
      <c r="B10" s="52" t="s">
        <v>137</v>
      </c>
      <c r="D10" s="79"/>
      <c r="E10" s="76"/>
      <c r="F10" s="77"/>
      <c r="G10" s="78"/>
      <c r="H10" s="77"/>
      <c r="I10" s="78"/>
      <c r="J10" s="77"/>
      <c r="K10" s="78"/>
      <c r="L10" s="77"/>
      <c r="M10" s="78"/>
      <c r="N10" s="78"/>
      <c r="O10" s="78"/>
      <c r="P10" s="77"/>
      <c r="Q10" s="78"/>
      <c r="R10" s="77"/>
      <c r="S10" s="78"/>
      <c r="T10" s="78"/>
      <c r="U10" s="78"/>
      <c r="V10" s="78"/>
      <c r="W10" s="78"/>
      <c r="X10" s="77"/>
      <c r="Y10" s="78"/>
      <c r="Z10" s="77"/>
      <c r="AA10" s="78"/>
      <c r="AB10" s="77"/>
      <c r="AC10" s="78"/>
      <c r="AD10" s="77"/>
      <c r="AE10" s="78"/>
      <c r="AF10" s="77"/>
      <c r="AG10" s="78"/>
      <c r="AH10" s="77"/>
      <c r="AI10" s="78"/>
      <c r="AJ10" s="78"/>
      <c r="AK10" s="78"/>
      <c r="AL10" s="78"/>
      <c r="AM10" s="78"/>
      <c r="AN10" s="77"/>
      <c r="AO10" s="78"/>
      <c r="AP10" s="77"/>
      <c r="AQ10" s="78"/>
      <c r="AR10" s="77"/>
      <c r="AS10" s="78"/>
      <c r="AT10" s="78"/>
      <c r="AU10" s="78"/>
      <c r="AV10" s="77"/>
      <c r="AW10" s="78"/>
      <c r="AX10" s="77"/>
      <c r="AY10" s="78"/>
      <c r="AZ10" s="77"/>
      <c r="BA10" s="78"/>
      <c r="BB10" s="77"/>
      <c r="BC10" s="78"/>
      <c r="BD10" s="77"/>
      <c r="BE10" s="78"/>
      <c r="BF10" s="77"/>
      <c r="BG10" s="78"/>
      <c r="BH10" s="77"/>
      <c r="BI10" s="78"/>
      <c r="BJ10" s="77"/>
      <c r="BK10" s="78"/>
      <c r="BL10" s="77"/>
      <c r="BM10" s="78"/>
      <c r="BN10" s="77"/>
      <c r="BO10" s="78"/>
      <c r="BP10" s="77"/>
      <c r="BQ10" s="78"/>
      <c r="BR10" s="1"/>
      <c r="BS10" s="1"/>
      <c r="BT10" s="1"/>
      <c r="BU10" s="1"/>
      <c r="BV10" s="1"/>
      <c r="BW10" s="1"/>
      <c r="BX10" s="1"/>
      <c r="BY10" s="1"/>
      <c r="BZ10" s="1"/>
      <c r="CA10" s="1"/>
      <c r="CB10" s="1"/>
      <c r="CC10" s="1"/>
      <c r="CD10" s="1"/>
      <c r="CE10" s="71"/>
    </row>
    <row r="11" spans="2:83">
      <c r="B11" s="58"/>
      <c r="D11" s="1"/>
      <c r="E11" s="53"/>
      <c r="F11" s="53"/>
      <c r="H11" s="61"/>
      <c r="J11" s="53"/>
      <c r="L11" s="53"/>
      <c r="P11" s="53"/>
      <c r="R11" s="53"/>
      <c r="S11" s="53"/>
      <c r="T11" s="53"/>
      <c r="U11" s="53"/>
      <c r="V11" s="53"/>
      <c r="W11" s="53"/>
      <c r="X11" s="53"/>
      <c r="Z11" s="53"/>
      <c r="AB11" s="53"/>
      <c r="AD11" s="53"/>
      <c r="AF11" s="53"/>
      <c r="AH11" s="53"/>
      <c r="AN11" s="53"/>
      <c r="AP11" s="53"/>
      <c r="AR11" s="53"/>
      <c r="AX11" s="62"/>
      <c r="AZ11" s="53"/>
      <c r="BB11" s="53"/>
      <c r="BD11" s="53"/>
      <c r="BF11" s="53"/>
      <c r="BH11" s="53"/>
      <c r="BJ11" s="53"/>
      <c r="BL11" s="53"/>
      <c r="BN11" s="53"/>
      <c r="BP11" s="53"/>
    </row>
    <row r="12" spans="2:83" ht="15" customHeight="1">
      <c r="H12" s="1"/>
      <c r="R12" s="53"/>
      <c r="S12" s="53"/>
      <c r="T12" s="53"/>
      <c r="U12" s="53"/>
      <c r="V12" s="53"/>
      <c r="W12" s="53"/>
    </row>
    <row r="13" spans="2:83">
      <c r="C13" s="80"/>
      <c r="D13" s="1"/>
      <c r="E13" s="81"/>
      <c r="F13" s="82"/>
      <c r="G13" s="81"/>
      <c r="H13" s="81"/>
      <c r="I13" s="13"/>
      <c r="J13" s="82"/>
      <c r="K13" s="82"/>
    </row>
    <row r="14" spans="2:83"/>
  </sheetData>
  <mergeCells count="97">
    <mergeCell ref="AT6:AU6"/>
    <mergeCell ref="AT7:AU7"/>
    <mergeCell ref="T6:U6"/>
    <mergeCell ref="T7:U7"/>
    <mergeCell ref="V6:W6"/>
    <mergeCell ref="V7:W7"/>
    <mergeCell ref="X6:Y6"/>
    <mergeCell ref="Z6:AA6"/>
    <mergeCell ref="AB6:AC6"/>
    <mergeCell ref="AD6:AE6"/>
    <mergeCell ref="AF6:AG6"/>
    <mergeCell ref="AJ7:AK7"/>
    <mergeCell ref="N6:O6"/>
    <mergeCell ref="R7:S7"/>
    <mergeCell ref="P7:Q7"/>
    <mergeCell ref="N7:O7"/>
    <mergeCell ref="R5:S5"/>
    <mergeCell ref="R6:S6"/>
    <mergeCell ref="P6:Q6"/>
    <mergeCell ref="BP7:BQ7"/>
    <mergeCell ref="AZ7:BA7"/>
    <mergeCell ref="BD7:BE7"/>
    <mergeCell ref="BH7:BI7"/>
    <mergeCell ref="BJ7:BK7"/>
    <mergeCell ref="BL7:BM7"/>
    <mergeCell ref="BB7:BC7"/>
    <mergeCell ref="BF7:BG7"/>
    <mergeCell ref="BN7:BO7"/>
    <mergeCell ref="AX7:AY7"/>
    <mergeCell ref="AP7:AQ7"/>
    <mergeCell ref="F7:G7"/>
    <mergeCell ref="H7:I7"/>
    <mergeCell ref="J7:K7"/>
    <mergeCell ref="L7:M7"/>
    <mergeCell ref="X7:Y7"/>
    <mergeCell ref="AL7:AM7"/>
    <mergeCell ref="AV7:AW7"/>
    <mergeCell ref="Z7:AA7"/>
    <mergeCell ref="AB7:AC7"/>
    <mergeCell ref="AD7:AE7"/>
    <mergeCell ref="AF7:AG7"/>
    <mergeCell ref="AH7:AI7"/>
    <mergeCell ref="AN7:AO7"/>
    <mergeCell ref="AR7:AS7"/>
    <mergeCell ref="BP6:BQ6"/>
    <mergeCell ref="AH6:AI6"/>
    <mergeCell ref="AN6:AO6"/>
    <mergeCell ref="AX6:AY6"/>
    <mergeCell ref="AZ6:BA6"/>
    <mergeCell ref="BD6:BE6"/>
    <mergeCell ref="AL6:AM6"/>
    <mergeCell ref="AP6:AQ6"/>
    <mergeCell ref="BB6:BC6"/>
    <mergeCell ref="AJ6:AK6"/>
    <mergeCell ref="BN6:BO6"/>
    <mergeCell ref="BF6:BG6"/>
    <mergeCell ref="BH6:BI6"/>
    <mergeCell ref="BJ6:BK6"/>
    <mergeCell ref="BL6:BM6"/>
    <mergeCell ref="AV6:AW6"/>
    <mergeCell ref="C6:D6"/>
    <mergeCell ref="F6:G6"/>
    <mergeCell ref="H6:I6"/>
    <mergeCell ref="J6:K6"/>
    <mergeCell ref="L6:M6"/>
    <mergeCell ref="BP5:BQ5"/>
    <mergeCell ref="AH5:AI5"/>
    <mergeCell ref="AN5:AO5"/>
    <mergeCell ref="AR5:AS5"/>
    <mergeCell ref="AX5:AY5"/>
    <mergeCell ref="AZ5:BA5"/>
    <mergeCell ref="BD5:BE5"/>
    <mergeCell ref="BB5:BC5"/>
    <mergeCell ref="AL5:AM5"/>
    <mergeCell ref="AP5:AQ5"/>
    <mergeCell ref="BH5:BI5"/>
    <mergeCell ref="BJ5:BK5"/>
    <mergeCell ref="BL5:BM5"/>
    <mergeCell ref="BF5:BG5"/>
    <mergeCell ref="AV5:AW5"/>
    <mergeCell ref="AT5:AU5"/>
    <mergeCell ref="C5:D5"/>
    <mergeCell ref="H5:I5"/>
    <mergeCell ref="J5:K5"/>
    <mergeCell ref="E5:G5"/>
    <mergeCell ref="BN5:BO5"/>
    <mergeCell ref="L5:M5"/>
    <mergeCell ref="N5:O5"/>
    <mergeCell ref="V5:W5"/>
    <mergeCell ref="AJ5:AK5"/>
    <mergeCell ref="P5:Q5"/>
    <mergeCell ref="X5:Y5"/>
    <mergeCell ref="Z5:AA5"/>
    <mergeCell ref="AB5:AC5"/>
    <mergeCell ref="AD5:AE5"/>
    <mergeCell ref="AF5:AG5"/>
    <mergeCell ref="T5:U5"/>
  </mergeCells>
  <conditionalFormatting sqref="F9:F10 H9:H10 J9:J10 L9:L10 P9:P10 X9:X10 Z9:Z10 AB9:AB10 AH9:AH10 AR9:AR10 BD9:BD10 BF9:BF10 BH9:BH10">
    <cfRule type="expression" dxfId="512" priority="533">
      <formula>AND(F9&gt;=TODAY(), G9="A")</formula>
    </cfRule>
    <cfRule type="expression" dxfId="511" priority="534">
      <formula>AND(EDATE(F9,1),G9="C")</formula>
    </cfRule>
    <cfRule type="expression" dxfId="510" priority="535">
      <formula>AND(EDATE(F9,1), F9&gt;TODAY())</formula>
    </cfRule>
    <cfRule type="expression" dxfId="509" priority="536">
      <formula>AND(EDATE(F9,1),NOT(ISBLANK(F9)), F9&lt;TODAY())</formula>
    </cfRule>
    <cfRule type="containsText" dxfId="508" priority="537" operator="containsText" text="A">
      <formula>NOT(ISERROR(SEARCH("A",F9)))</formula>
    </cfRule>
    <cfRule type="containsText" dxfId="507" priority="538" operator="containsText" text="D">
      <formula>NOT(ISERROR(SEARCH("D",F9)))</formula>
    </cfRule>
    <cfRule type="containsText" dxfId="506" priority="539" operator="containsText" text="C">
      <formula>NOT(ISERROR(SEARCH("C",F9)))</formula>
    </cfRule>
    <cfRule type="containsText" dxfId="505" priority="540" operator="containsText" text="R">
      <formula>NOT(ISERROR(SEARCH("R",F9)))</formula>
    </cfRule>
    <cfRule type="containsBlanks" dxfId="504" priority="541">
      <formula>LEN(TRIM(F9))=0</formula>
    </cfRule>
  </conditionalFormatting>
  <conditionalFormatting sqref="F13">
    <cfRule type="expression" dxfId="503" priority="110">
      <formula>AND(EDATE(F13,1),#REF!="C")</formula>
    </cfRule>
    <cfRule type="expression" dxfId="502" priority="111">
      <formula>AND(EDATE(F13,1), F13&gt;TODAY())</formula>
    </cfRule>
    <cfRule type="expression" dxfId="501" priority="112">
      <formula>AND(EDATE(F13,1),NOT(ISBLANK(F13)), F13&lt;TODAY())</formula>
    </cfRule>
    <cfRule type="containsText" dxfId="500" priority="113" operator="containsText" text="A">
      <formula>NOT(ISERROR(SEARCH("A",F13)))</formula>
    </cfRule>
    <cfRule type="containsText" dxfId="499" priority="114" operator="containsText" text="D">
      <formula>NOT(ISERROR(SEARCH("D",F13)))</formula>
    </cfRule>
    <cfRule type="containsText" dxfId="498" priority="115" operator="containsText" text="C">
      <formula>NOT(ISERROR(SEARCH("C",F13)))</formula>
    </cfRule>
    <cfRule type="containsText" dxfId="497" priority="116" operator="containsText" text="R">
      <formula>NOT(ISERROR(SEARCH("R",F13)))</formula>
    </cfRule>
    <cfRule type="containsBlanks" dxfId="496" priority="117">
      <formula>LEN(TRIM(F13))=0</formula>
    </cfRule>
  </conditionalFormatting>
  <conditionalFormatting sqref="G9:G10 S10:W10">
    <cfRule type="expression" dxfId="495" priority="397">
      <formula>AND(G9&gt;=TODAY(), #REF!="A")</formula>
    </cfRule>
    <cfRule type="expression" dxfId="494" priority="398">
      <formula>AND(EDATE(G9,1),#REF!="C")</formula>
    </cfRule>
    <cfRule type="expression" dxfId="493" priority="399">
      <formula>AND(EDATE(G9,1), G9&gt;TODAY())</formula>
    </cfRule>
    <cfRule type="expression" dxfId="492" priority="400">
      <formula>AND(EDATE(G9,1),NOT(ISBLANK(G9)), G9&lt;TODAY())</formula>
    </cfRule>
    <cfRule type="containsText" dxfId="491" priority="401" operator="containsText" text="A">
      <formula>NOT(ISERROR(SEARCH("A",G9)))</formula>
    </cfRule>
    <cfRule type="containsText" dxfId="490" priority="402" operator="containsText" text="D">
      <formula>NOT(ISERROR(SEARCH("D",G9)))</formula>
    </cfRule>
    <cfRule type="containsText" dxfId="489" priority="403" operator="containsText" text="C">
      <formula>NOT(ISERROR(SEARCH("C",G9)))</formula>
    </cfRule>
    <cfRule type="containsText" dxfId="488" priority="404" operator="containsText" text="R">
      <formula>NOT(ISERROR(SEARCH("R",G9)))</formula>
    </cfRule>
    <cfRule type="containsBlanks" dxfId="487" priority="405">
      <formula>LEN(TRIM(G9))=0</formula>
    </cfRule>
  </conditionalFormatting>
  <conditionalFormatting sqref="H3 J3">
    <cfRule type="expression" dxfId="486" priority="551">
      <formula>AND(EDATE(H3,1),#REF!="C")</formula>
    </cfRule>
    <cfRule type="expression" dxfId="485" priority="552">
      <formula>AND(EDATE(H3,1), H3&gt;TODAY())</formula>
    </cfRule>
    <cfRule type="expression" dxfId="484" priority="553">
      <formula>AND(EDATE(H3,1),NOT(ISBLANK(H3)), H3&lt;TODAY())</formula>
    </cfRule>
    <cfRule type="containsText" dxfId="483" priority="554" operator="containsText" text="A">
      <formula>NOT(ISERROR(SEARCH("A",H3)))</formula>
    </cfRule>
    <cfRule type="containsText" dxfId="482" priority="555" operator="containsText" text="D">
      <formula>NOT(ISERROR(SEARCH("D",H3)))</formula>
    </cfRule>
    <cfRule type="containsText" dxfId="481" priority="556" operator="containsText" text="C">
      <formula>NOT(ISERROR(SEARCH("C",H3)))</formula>
    </cfRule>
    <cfRule type="containsText" dxfId="480" priority="557" operator="containsText" text="R">
      <formula>NOT(ISERROR(SEARCH("R",H3)))</formula>
    </cfRule>
    <cfRule type="containsBlanks" dxfId="479" priority="558">
      <formula>LEN(TRIM(H3))=0</formula>
    </cfRule>
  </conditionalFormatting>
  <conditionalFormatting sqref="H13 J13:K13">
    <cfRule type="containsText" dxfId="478" priority="109" operator="containsText" text="A">
      <formula>NOT(ISERROR(SEARCH("A",H13)))</formula>
    </cfRule>
  </conditionalFormatting>
  <conditionalFormatting sqref="I9:I10">
    <cfRule type="expression" dxfId="477" priority="388">
      <formula>AND(I9&gt;=TODAY(), #REF!="A")</formula>
    </cfRule>
    <cfRule type="expression" dxfId="476" priority="389">
      <formula>AND(EDATE(I9,1),#REF!="C")</formula>
    </cfRule>
    <cfRule type="expression" dxfId="475" priority="390">
      <formula>AND(EDATE(I9,1), I9&gt;TODAY())</formula>
    </cfRule>
    <cfRule type="expression" dxfId="474" priority="391">
      <formula>AND(EDATE(I9,1),NOT(ISBLANK(I9)), I9&lt;TODAY())</formula>
    </cfRule>
    <cfRule type="containsText" dxfId="473" priority="392" operator="containsText" text="A">
      <formula>NOT(ISERROR(SEARCH("A",I9)))</formula>
    </cfRule>
    <cfRule type="containsText" dxfId="472" priority="393" operator="containsText" text="D">
      <formula>NOT(ISERROR(SEARCH("D",I9)))</formula>
    </cfRule>
    <cfRule type="containsText" dxfId="471" priority="394" operator="containsText" text="C">
      <formula>NOT(ISERROR(SEARCH("C",I9)))</formula>
    </cfRule>
    <cfRule type="containsText" dxfId="470" priority="395" operator="containsText" text="R">
      <formula>NOT(ISERROR(SEARCH("R",I9)))</formula>
    </cfRule>
    <cfRule type="containsBlanks" dxfId="469" priority="396">
      <formula>LEN(TRIM(I9))=0</formula>
    </cfRule>
  </conditionalFormatting>
  <conditionalFormatting sqref="K9:K10">
    <cfRule type="expression" dxfId="468" priority="379">
      <formula>AND(K9&gt;=TODAY(), #REF!="A")</formula>
    </cfRule>
    <cfRule type="expression" dxfId="467" priority="380">
      <formula>AND(EDATE(K9,1),#REF!="C")</formula>
    </cfRule>
    <cfRule type="expression" dxfId="466" priority="381">
      <formula>AND(EDATE(K9,1), K9&gt;TODAY())</formula>
    </cfRule>
    <cfRule type="expression" dxfId="465" priority="382">
      <formula>AND(EDATE(K9,1),NOT(ISBLANK(K9)), K9&lt;TODAY())</formula>
    </cfRule>
    <cfRule type="containsText" dxfId="464" priority="383" operator="containsText" text="A">
      <formula>NOT(ISERROR(SEARCH("A",K9)))</formula>
    </cfRule>
    <cfRule type="containsText" dxfId="463" priority="384" operator="containsText" text="D">
      <formula>NOT(ISERROR(SEARCH("D",K9)))</formula>
    </cfRule>
    <cfRule type="containsText" dxfId="462" priority="385" operator="containsText" text="C">
      <formula>NOT(ISERROR(SEARCH("C",K9)))</formula>
    </cfRule>
    <cfRule type="containsText" dxfId="461" priority="386" operator="containsText" text="R">
      <formula>NOT(ISERROR(SEARCH("R",K9)))</formula>
    </cfRule>
    <cfRule type="containsBlanks" dxfId="460" priority="387">
      <formula>LEN(TRIM(K9))=0</formula>
    </cfRule>
  </conditionalFormatting>
  <conditionalFormatting sqref="L3 N3">
    <cfRule type="containsText" dxfId="459" priority="532" operator="containsText" text="A">
      <formula>NOT(ISERROR(SEARCH("A",L3)))</formula>
    </cfRule>
  </conditionalFormatting>
  <conditionalFormatting sqref="M9:M10">
    <cfRule type="expression" dxfId="458" priority="370">
      <formula>AND(M9&gt;=TODAY(), #REF!="A")</formula>
    </cfRule>
    <cfRule type="expression" dxfId="457" priority="371">
      <formula>AND(EDATE(M9,1),#REF!="C")</formula>
    </cfRule>
    <cfRule type="expression" dxfId="456" priority="372">
      <formula>AND(EDATE(M9,1), M9&gt;TODAY())</formula>
    </cfRule>
    <cfRule type="expression" dxfId="455" priority="373">
      <formula>AND(EDATE(M9,1),NOT(ISBLANK(M9)), M9&lt;TODAY())</formula>
    </cfRule>
    <cfRule type="containsText" dxfId="454" priority="374" operator="containsText" text="A">
      <formula>NOT(ISERROR(SEARCH("A",M9)))</formula>
    </cfRule>
    <cfRule type="containsText" dxfId="453" priority="375" operator="containsText" text="D">
      <formula>NOT(ISERROR(SEARCH("D",M9)))</formula>
    </cfRule>
    <cfRule type="containsText" dxfId="452" priority="376" operator="containsText" text="C">
      <formula>NOT(ISERROR(SEARCH("C",M9)))</formula>
    </cfRule>
    <cfRule type="containsText" dxfId="451" priority="377" operator="containsText" text="R">
      <formula>NOT(ISERROR(SEARCH("R",M9)))</formula>
    </cfRule>
    <cfRule type="containsBlanks" dxfId="450" priority="378">
      <formula>LEN(TRIM(M9))=0</formula>
    </cfRule>
  </conditionalFormatting>
  <conditionalFormatting sqref="N9">
    <cfRule type="expression" dxfId="449" priority="136">
      <formula>AND(N9&gt;=TODAY(), O9="A")</formula>
    </cfRule>
    <cfRule type="expression" dxfId="448" priority="137">
      <formula>AND(EDATE(N9,1),O9="C")</formula>
    </cfRule>
    <cfRule type="expression" dxfId="447" priority="138">
      <formula>AND(EDATE(N9,1), N9&gt;TODAY())</formula>
    </cfRule>
    <cfRule type="expression" dxfId="446" priority="139">
      <formula>AND(EDATE(N9,1),NOT(ISBLANK(N9)), N9&lt;TODAY())</formula>
    </cfRule>
    <cfRule type="containsText" dxfId="445" priority="140" operator="containsText" text="A">
      <formula>NOT(ISERROR(SEARCH("A",N9)))</formula>
    </cfRule>
    <cfRule type="containsText" dxfId="444" priority="141" operator="containsText" text="D">
      <formula>NOT(ISERROR(SEARCH("D",N9)))</formula>
    </cfRule>
    <cfRule type="containsText" dxfId="443" priority="142" operator="containsText" text="C">
      <formula>NOT(ISERROR(SEARCH("C",N9)))</formula>
    </cfRule>
    <cfRule type="containsText" dxfId="442" priority="143" operator="containsText" text="R">
      <formula>NOT(ISERROR(SEARCH("R",N9)))</formula>
    </cfRule>
    <cfRule type="containsBlanks" dxfId="441" priority="144">
      <formula>LEN(TRIM(N9))=0</formula>
    </cfRule>
  </conditionalFormatting>
  <conditionalFormatting sqref="O9 N10:O10">
    <cfRule type="expression" dxfId="440" priority="145">
      <formula>AND(N9&gt;=TODAY(), #REF!="A")</formula>
    </cfRule>
    <cfRule type="expression" dxfId="439" priority="146">
      <formula>AND(EDATE(N9,1),#REF!="C")</formula>
    </cfRule>
    <cfRule type="expression" dxfId="438" priority="147">
      <formula>AND(EDATE(N9,1), N9&gt;TODAY())</formula>
    </cfRule>
    <cfRule type="expression" dxfId="437" priority="148">
      <formula>AND(EDATE(N9,1),NOT(ISBLANK(N9)), N9&lt;TODAY())</formula>
    </cfRule>
    <cfRule type="containsText" dxfId="436" priority="149" operator="containsText" text="A">
      <formula>NOT(ISERROR(SEARCH("A",N9)))</formula>
    </cfRule>
    <cfRule type="containsText" dxfId="435" priority="150" operator="containsText" text="D">
      <formula>NOT(ISERROR(SEARCH("D",N9)))</formula>
    </cfRule>
    <cfRule type="containsText" dxfId="434" priority="151" operator="containsText" text="C">
      <formula>NOT(ISERROR(SEARCH("C",N9)))</formula>
    </cfRule>
    <cfRule type="containsText" dxfId="433" priority="152" operator="containsText" text="R">
      <formula>NOT(ISERROR(SEARCH("R",N9)))</formula>
    </cfRule>
    <cfRule type="containsBlanks" dxfId="432" priority="153">
      <formula>LEN(TRIM(N9))=0</formula>
    </cfRule>
  </conditionalFormatting>
  <conditionalFormatting sqref="Q9:Q10">
    <cfRule type="expression" dxfId="431" priority="352">
      <formula>AND(Q9&gt;=TODAY(), #REF!="A")</formula>
    </cfRule>
    <cfRule type="expression" dxfId="430" priority="353">
      <formula>AND(EDATE(Q9,1),#REF!="C")</formula>
    </cfRule>
    <cfRule type="expression" dxfId="429" priority="354">
      <formula>AND(EDATE(Q9,1), Q9&gt;TODAY())</formula>
    </cfRule>
    <cfRule type="expression" dxfId="428" priority="355">
      <formula>AND(EDATE(Q9,1),NOT(ISBLANK(Q9)), Q9&lt;TODAY())</formula>
    </cfRule>
    <cfRule type="containsText" dxfId="427" priority="356" operator="containsText" text="A">
      <formula>NOT(ISERROR(SEARCH("A",Q9)))</formula>
    </cfRule>
    <cfRule type="containsText" dxfId="426" priority="357" operator="containsText" text="D">
      <formula>NOT(ISERROR(SEARCH("D",Q9)))</formula>
    </cfRule>
    <cfRule type="containsText" dxfId="425" priority="358" operator="containsText" text="C">
      <formula>NOT(ISERROR(SEARCH("C",Q9)))</formula>
    </cfRule>
    <cfRule type="containsText" dxfId="424" priority="359" operator="containsText" text="R">
      <formula>NOT(ISERROR(SEARCH("R",Q9)))</formula>
    </cfRule>
    <cfRule type="containsBlanks" dxfId="423" priority="360">
      <formula>LEN(TRIM(Q9))=0</formula>
    </cfRule>
  </conditionalFormatting>
  <conditionalFormatting sqref="R10">
    <cfRule type="expression" dxfId="422" priority="1248">
      <formula>AND(R10&gt;=TODAY(), X10="A")</formula>
    </cfRule>
    <cfRule type="expression" dxfId="421" priority="1249">
      <formula>AND(EDATE(R10,1),X10="C")</formula>
    </cfRule>
    <cfRule type="expression" dxfId="420" priority="1250">
      <formula>AND(EDATE(R10,1), R10&gt;TODAY())</formula>
    </cfRule>
    <cfRule type="expression" dxfId="419" priority="1251">
      <formula>AND(EDATE(R10,1),NOT(ISBLANK(R10)), R10&lt;TODAY())</formula>
    </cfRule>
    <cfRule type="containsText" dxfId="418" priority="1252" operator="containsText" text="A">
      <formula>NOT(ISERROR(SEARCH("A",R10)))</formula>
    </cfRule>
    <cfRule type="containsText" dxfId="417" priority="1253" operator="containsText" text="D">
      <formula>NOT(ISERROR(SEARCH("D",R10)))</formula>
    </cfRule>
    <cfRule type="containsText" dxfId="416" priority="1254" operator="containsText" text="C">
      <formula>NOT(ISERROR(SEARCH("C",R10)))</formula>
    </cfRule>
    <cfRule type="containsText" dxfId="415" priority="1255" operator="containsText" text="R">
      <formula>NOT(ISERROR(SEARCH("R",R10)))</formula>
    </cfRule>
    <cfRule type="containsBlanks" dxfId="414" priority="1256">
      <formula>LEN(TRIM(R10))=0</formula>
    </cfRule>
  </conditionalFormatting>
  <conditionalFormatting sqref="S9 U9 W9">
    <cfRule type="expression" dxfId="413" priority="343">
      <formula>AND(S9&gt;=TODAY(), #REF!="A")</formula>
    </cfRule>
    <cfRule type="expression" dxfId="412" priority="344">
      <formula>AND(EDATE(S9,1),#REF!="C")</formula>
    </cfRule>
    <cfRule type="expression" dxfId="411" priority="345">
      <formula>AND(EDATE(S9,1), S9&gt;TODAY())</formula>
    </cfRule>
    <cfRule type="expression" dxfId="410" priority="346">
      <formula>AND(EDATE(S9,1),NOT(ISBLANK(S9)), S9&lt;TODAY())</formula>
    </cfRule>
    <cfRule type="containsText" dxfId="409" priority="347" operator="containsText" text="A">
      <formula>NOT(ISERROR(SEARCH("A",S9)))</formula>
    </cfRule>
    <cfRule type="containsText" dxfId="408" priority="348" operator="containsText" text="D">
      <formula>NOT(ISERROR(SEARCH("D",S9)))</formula>
    </cfRule>
    <cfRule type="containsText" dxfId="407" priority="349" operator="containsText" text="C">
      <formula>NOT(ISERROR(SEARCH("C",S9)))</formula>
    </cfRule>
    <cfRule type="containsText" dxfId="406" priority="350" operator="containsText" text="R">
      <formula>NOT(ISERROR(SEARCH("R",S9)))</formula>
    </cfRule>
    <cfRule type="containsBlanks" dxfId="405" priority="351">
      <formula>LEN(TRIM(S9))=0</formula>
    </cfRule>
  </conditionalFormatting>
  <conditionalFormatting sqref="T9">
    <cfRule type="expression" dxfId="404" priority="19">
      <formula>AND(T9&gt;=TODAY(), Z9="A")</formula>
    </cfRule>
    <cfRule type="expression" dxfId="403" priority="20">
      <formula>AND(EDATE(T9,1),Z9="C")</formula>
    </cfRule>
    <cfRule type="expression" dxfId="402" priority="21">
      <formula>AND(EDATE(T9,1), T9&gt;TODAY())</formula>
    </cfRule>
    <cfRule type="expression" dxfId="401" priority="22">
      <formula>AND(EDATE(T9,1),NOT(ISBLANK(T9)), T9&lt;TODAY())</formula>
    </cfRule>
    <cfRule type="containsText" dxfId="400" priority="23" operator="containsText" text="A">
      <formula>NOT(ISERROR(SEARCH("A",T9)))</formula>
    </cfRule>
    <cfRule type="containsText" dxfId="399" priority="24" operator="containsText" text="D">
      <formula>NOT(ISERROR(SEARCH("D",T9)))</formula>
    </cfRule>
    <cfRule type="containsText" dxfId="398" priority="25" operator="containsText" text="C">
      <formula>NOT(ISERROR(SEARCH("C",T9)))</formula>
    </cfRule>
    <cfRule type="containsText" dxfId="397" priority="26" operator="containsText" text="R">
      <formula>NOT(ISERROR(SEARCH("R",T9)))</formula>
    </cfRule>
    <cfRule type="containsBlanks" dxfId="396" priority="27">
      <formula>LEN(TRIM(T9))=0</formula>
    </cfRule>
  </conditionalFormatting>
  <conditionalFormatting sqref="V9">
    <cfRule type="expression" dxfId="395" priority="64">
      <formula>AND(V9&gt;=TODAY(), Z9="A")</formula>
    </cfRule>
    <cfRule type="expression" dxfId="394" priority="65">
      <formula>AND(EDATE(V9,1),Z9="C")</formula>
    </cfRule>
    <cfRule type="expression" dxfId="393" priority="66">
      <formula>AND(EDATE(V9,1), V9&gt;TODAY())</formula>
    </cfRule>
    <cfRule type="expression" dxfId="392" priority="67">
      <formula>AND(EDATE(V9,1),NOT(ISBLANK(V9)), V9&lt;TODAY())</formula>
    </cfRule>
    <cfRule type="containsText" dxfId="391" priority="68" operator="containsText" text="A">
      <formula>NOT(ISERROR(SEARCH("A",V9)))</formula>
    </cfRule>
    <cfRule type="containsText" dxfId="390" priority="69" operator="containsText" text="D">
      <formula>NOT(ISERROR(SEARCH("D",V9)))</formula>
    </cfRule>
    <cfRule type="containsText" dxfId="389" priority="70" operator="containsText" text="C">
      <formula>NOT(ISERROR(SEARCH("C",V9)))</formula>
    </cfRule>
    <cfRule type="containsText" dxfId="388" priority="71" operator="containsText" text="R">
      <formula>NOT(ISERROR(SEARCH("R",V9)))</formula>
    </cfRule>
    <cfRule type="containsBlanks" dxfId="387" priority="72">
      <formula>LEN(TRIM(V9))=0</formula>
    </cfRule>
  </conditionalFormatting>
  <conditionalFormatting sqref="Y9:Y10">
    <cfRule type="expression" dxfId="386" priority="334">
      <formula>AND(Y9&gt;=TODAY(), #REF!="A")</formula>
    </cfRule>
    <cfRule type="expression" dxfId="385" priority="335">
      <formula>AND(EDATE(Y9,1),#REF!="C")</formula>
    </cfRule>
    <cfRule type="expression" dxfId="384" priority="336">
      <formula>AND(EDATE(Y9,1), Y9&gt;TODAY())</formula>
    </cfRule>
    <cfRule type="expression" dxfId="383" priority="337">
      <formula>AND(EDATE(Y9,1),NOT(ISBLANK(Y9)), Y9&lt;TODAY())</formula>
    </cfRule>
    <cfRule type="containsText" dxfId="382" priority="338" operator="containsText" text="A">
      <formula>NOT(ISERROR(SEARCH("A",Y9)))</formula>
    </cfRule>
    <cfRule type="containsText" dxfId="381" priority="339" operator="containsText" text="D">
      <formula>NOT(ISERROR(SEARCH("D",Y9)))</formula>
    </cfRule>
    <cfRule type="containsText" dxfId="380" priority="340" operator="containsText" text="C">
      <formula>NOT(ISERROR(SEARCH("C",Y9)))</formula>
    </cfRule>
    <cfRule type="containsText" dxfId="379" priority="341" operator="containsText" text="R">
      <formula>NOT(ISERROR(SEARCH("R",Y9)))</formula>
    </cfRule>
    <cfRule type="containsBlanks" dxfId="378" priority="342">
      <formula>LEN(TRIM(Y9))=0</formula>
    </cfRule>
  </conditionalFormatting>
  <conditionalFormatting sqref="AA9:AA10">
    <cfRule type="expression" dxfId="377" priority="325">
      <formula>AND(AA9&gt;=TODAY(), #REF!="A")</formula>
    </cfRule>
    <cfRule type="expression" dxfId="376" priority="326">
      <formula>AND(EDATE(AA9,1),#REF!="C")</formula>
    </cfRule>
    <cfRule type="expression" dxfId="375" priority="327">
      <formula>AND(EDATE(AA9,1), AA9&gt;TODAY())</formula>
    </cfRule>
    <cfRule type="expression" dxfId="374" priority="328">
      <formula>AND(EDATE(AA9,1),NOT(ISBLANK(AA9)), AA9&lt;TODAY())</formula>
    </cfRule>
    <cfRule type="containsText" dxfId="373" priority="329" operator="containsText" text="A">
      <formula>NOT(ISERROR(SEARCH("A",AA9)))</formula>
    </cfRule>
    <cfRule type="containsText" dxfId="372" priority="330" operator="containsText" text="D">
      <formula>NOT(ISERROR(SEARCH("D",AA9)))</formula>
    </cfRule>
    <cfRule type="containsText" dxfId="371" priority="331" operator="containsText" text="C">
      <formula>NOT(ISERROR(SEARCH("C",AA9)))</formula>
    </cfRule>
    <cfRule type="containsText" dxfId="370" priority="332" operator="containsText" text="R">
      <formula>NOT(ISERROR(SEARCH("R",AA9)))</formula>
    </cfRule>
    <cfRule type="containsBlanks" dxfId="369" priority="333">
      <formula>LEN(TRIM(AA9))=0</formula>
    </cfRule>
  </conditionalFormatting>
  <conditionalFormatting sqref="AC9:AC10">
    <cfRule type="expression" dxfId="368" priority="316">
      <formula>AND(AC9&gt;=TODAY(), #REF!="A")</formula>
    </cfRule>
    <cfRule type="expression" dxfId="367" priority="317">
      <formula>AND(EDATE(AC9,1),#REF!="C")</formula>
    </cfRule>
    <cfRule type="expression" dxfId="366" priority="318">
      <formula>AND(EDATE(AC9,1), AC9&gt;TODAY())</formula>
    </cfRule>
    <cfRule type="expression" dxfId="365" priority="319">
      <formula>AND(EDATE(AC9,1),NOT(ISBLANK(AC9)), AC9&lt;TODAY())</formula>
    </cfRule>
    <cfRule type="containsText" dxfId="364" priority="320" operator="containsText" text="A">
      <formula>NOT(ISERROR(SEARCH("A",AC9)))</formula>
    </cfRule>
    <cfRule type="containsText" dxfId="363" priority="321" operator="containsText" text="D">
      <formula>NOT(ISERROR(SEARCH("D",AC9)))</formula>
    </cfRule>
    <cfRule type="containsText" dxfId="362" priority="322" operator="containsText" text="C">
      <formula>NOT(ISERROR(SEARCH("C",AC9)))</formula>
    </cfRule>
    <cfRule type="containsText" dxfId="361" priority="323" operator="containsText" text="R">
      <formula>NOT(ISERROR(SEARCH("R",AC9)))</formula>
    </cfRule>
    <cfRule type="containsBlanks" dxfId="360" priority="324">
      <formula>LEN(TRIM(AC9))=0</formula>
    </cfRule>
  </conditionalFormatting>
  <conditionalFormatting sqref="AD9:AD10">
    <cfRule type="expression" dxfId="359" priority="478">
      <formula>AND(AD9&gt;=TODAY(), AE9="A")</formula>
    </cfRule>
    <cfRule type="expression" dxfId="358" priority="479">
      <formula>AND(EDATE(AD9,1),AE9="C")</formula>
    </cfRule>
    <cfRule type="expression" dxfId="357" priority="480">
      <formula>AND(EDATE(AD9,1), AD9&gt;TODAY())</formula>
    </cfRule>
    <cfRule type="expression" dxfId="356" priority="481">
      <formula>AND(EDATE(AD9,1),NOT(ISBLANK(AD9)), AD9&lt;TODAY())</formula>
    </cfRule>
    <cfRule type="containsText" dxfId="355" priority="482" operator="containsText" text="A">
      <formula>NOT(ISERROR(SEARCH("A",AD9)))</formula>
    </cfRule>
    <cfRule type="containsText" dxfId="354" priority="483" operator="containsText" text="D">
      <formula>NOT(ISERROR(SEARCH("D",AD9)))</formula>
    </cfRule>
    <cfRule type="containsText" dxfId="353" priority="484" operator="containsText" text="C">
      <formula>NOT(ISERROR(SEARCH("C",AD9)))</formula>
    </cfRule>
    <cfRule type="containsText" dxfId="352" priority="485" operator="containsText" text="R">
      <formula>NOT(ISERROR(SEARCH("R",AD9)))</formula>
    </cfRule>
    <cfRule type="containsBlanks" dxfId="351" priority="486">
      <formula>LEN(TRIM(AD9))=0</formula>
    </cfRule>
  </conditionalFormatting>
  <conditionalFormatting sqref="AE9:AE10">
    <cfRule type="expression" dxfId="350" priority="307">
      <formula>AND(AE9&gt;=TODAY(), #REF!="A")</formula>
    </cfRule>
    <cfRule type="expression" dxfId="349" priority="308">
      <formula>AND(EDATE(AE9,1),#REF!="C")</formula>
    </cfRule>
    <cfRule type="expression" dxfId="348" priority="309">
      <formula>AND(EDATE(AE9,1), AE9&gt;TODAY())</formula>
    </cfRule>
    <cfRule type="expression" dxfId="347" priority="310">
      <formula>AND(EDATE(AE9,1),NOT(ISBLANK(AE9)), AE9&lt;TODAY())</formula>
    </cfRule>
    <cfRule type="containsText" dxfId="346" priority="311" operator="containsText" text="A">
      <formula>NOT(ISERROR(SEARCH("A",AE9)))</formula>
    </cfRule>
    <cfRule type="containsText" dxfId="345" priority="312" operator="containsText" text="D">
      <formula>NOT(ISERROR(SEARCH("D",AE9)))</formula>
    </cfRule>
    <cfRule type="containsText" dxfId="344" priority="313" operator="containsText" text="C">
      <formula>NOT(ISERROR(SEARCH("C",AE9)))</formula>
    </cfRule>
    <cfRule type="containsText" dxfId="343" priority="314" operator="containsText" text="R">
      <formula>NOT(ISERROR(SEARCH("R",AE9)))</formula>
    </cfRule>
    <cfRule type="containsBlanks" dxfId="342" priority="315">
      <formula>LEN(TRIM(AE9))=0</formula>
    </cfRule>
  </conditionalFormatting>
  <conditionalFormatting sqref="AF9:AF10">
    <cfRule type="expression" dxfId="341" priority="460">
      <formula>AND(AF9&gt;=TODAY(), AG9="A")</formula>
    </cfRule>
    <cfRule type="expression" dxfId="340" priority="461">
      <formula>AND(EDATE(AF9,1),AG9="C")</formula>
    </cfRule>
    <cfRule type="expression" dxfId="339" priority="462">
      <formula>AND(EDATE(AF9,1), AF9&gt;TODAY())</formula>
    </cfRule>
    <cfRule type="expression" dxfId="338" priority="463">
      <formula>AND(EDATE(AF9,1),NOT(ISBLANK(AF9)), AF9&lt;TODAY())</formula>
    </cfRule>
    <cfRule type="containsText" dxfId="337" priority="464" operator="containsText" text="A">
      <formula>NOT(ISERROR(SEARCH("A",AF9)))</formula>
    </cfRule>
    <cfRule type="containsText" dxfId="336" priority="465" operator="containsText" text="D">
      <formula>NOT(ISERROR(SEARCH("D",AF9)))</formula>
    </cfRule>
    <cfRule type="containsText" dxfId="335" priority="466" operator="containsText" text="C">
      <formula>NOT(ISERROR(SEARCH("C",AF9)))</formula>
    </cfRule>
    <cfRule type="containsText" dxfId="334" priority="467" operator="containsText" text="R">
      <formula>NOT(ISERROR(SEARCH("R",AF9)))</formula>
    </cfRule>
    <cfRule type="containsBlanks" dxfId="333" priority="468">
      <formula>LEN(TRIM(AF9))=0</formula>
    </cfRule>
  </conditionalFormatting>
  <conditionalFormatting sqref="AG9:AG10">
    <cfRule type="expression" dxfId="332" priority="298">
      <formula>AND(AG9&gt;=TODAY(), #REF!="A")</formula>
    </cfRule>
    <cfRule type="expression" dxfId="331" priority="299">
      <formula>AND(EDATE(AG9,1),#REF!="C")</formula>
    </cfRule>
    <cfRule type="expression" dxfId="330" priority="300">
      <formula>AND(EDATE(AG9,1), AG9&gt;TODAY())</formula>
    </cfRule>
    <cfRule type="expression" dxfId="329" priority="301">
      <formula>AND(EDATE(AG9,1),NOT(ISBLANK(AG9)), AG9&lt;TODAY())</formula>
    </cfRule>
    <cfRule type="containsText" dxfId="328" priority="302" operator="containsText" text="A">
      <formula>NOT(ISERROR(SEARCH("A",AG9)))</formula>
    </cfRule>
    <cfRule type="containsText" dxfId="327" priority="303" operator="containsText" text="D">
      <formula>NOT(ISERROR(SEARCH("D",AG9)))</formula>
    </cfRule>
    <cfRule type="containsText" dxfId="326" priority="304" operator="containsText" text="C">
      <formula>NOT(ISERROR(SEARCH("C",AG9)))</formula>
    </cfRule>
    <cfRule type="containsText" dxfId="325" priority="305" operator="containsText" text="R">
      <formula>NOT(ISERROR(SEARCH("R",AG9)))</formula>
    </cfRule>
    <cfRule type="containsBlanks" dxfId="324" priority="306">
      <formula>LEN(TRIM(AG9))=0</formula>
    </cfRule>
  </conditionalFormatting>
  <conditionalFormatting sqref="AI9 AK9 AM9 AI10:AM10">
    <cfRule type="expression" dxfId="323" priority="289">
      <formula>AND(AI9&gt;=TODAY(), #REF!="A")</formula>
    </cfRule>
    <cfRule type="expression" dxfId="322" priority="290">
      <formula>AND(EDATE(AI9,1),#REF!="C")</formula>
    </cfRule>
    <cfRule type="expression" dxfId="321" priority="291">
      <formula>AND(EDATE(AI9,1), AI9&gt;TODAY())</formula>
    </cfRule>
    <cfRule type="expression" dxfId="320" priority="292">
      <formula>AND(EDATE(AI9,1),NOT(ISBLANK(AI9)), AI9&lt;TODAY())</formula>
    </cfRule>
    <cfRule type="containsText" dxfId="319" priority="293" operator="containsText" text="A">
      <formula>NOT(ISERROR(SEARCH("A",AI9)))</formula>
    </cfRule>
    <cfRule type="containsText" dxfId="318" priority="294" operator="containsText" text="D">
      <formula>NOT(ISERROR(SEARCH("D",AI9)))</formula>
    </cfRule>
    <cfRule type="containsText" dxfId="317" priority="295" operator="containsText" text="C">
      <formula>NOT(ISERROR(SEARCH("C",AI9)))</formula>
    </cfRule>
    <cfRule type="containsText" dxfId="316" priority="296" operator="containsText" text="R">
      <formula>NOT(ISERROR(SEARCH("R",AI9)))</formula>
    </cfRule>
    <cfRule type="containsBlanks" dxfId="315" priority="297">
      <formula>LEN(TRIM(AI9))=0</formula>
    </cfRule>
  </conditionalFormatting>
  <conditionalFormatting sqref="AJ9">
    <cfRule type="expression" dxfId="314" priority="37">
      <formula>AND(AJ9&gt;=TODAY(), AK9="A")</formula>
    </cfRule>
    <cfRule type="expression" dxfId="313" priority="38">
      <formula>AND(EDATE(AJ9,1),AK9="C")</formula>
    </cfRule>
    <cfRule type="expression" dxfId="312" priority="39">
      <formula>AND(EDATE(AJ9,1), AJ9&gt;TODAY())</formula>
    </cfRule>
    <cfRule type="expression" dxfId="311" priority="40">
      <formula>AND(EDATE(AJ9,1),NOT(ISBLANK(AJ9)), AJ9&lt;TODAY())</formula>
    </cfRule>
    <cfRule type="containsText" dxfId="310" priority="41" operator="containsText" text="A">
      <formula>NOT(ISERROR(SEARCH("A",AJ9)))</formula>
    </cfRule>
    <cfRule type="containsText" dxfId="309" priority="42" operator="containsText" text="D">
      <formula>NOT(ISERROR(SEARCH("D",AJ9)))</formula>
    </cfRule>
    <cfRule type="containsText" dxfId="308" priority="43" operator="containsText" text="C">
      <formula>NOT(ISERROR(SEARCH("C",AJ9)))</formula>
    </cfRule>
    <cfRule type="containsText" dxfId="307" priority="44" operator="containsText" text="R">
      <formula>NOT(ISERROR(SEARCH("R",AJ9)))</formula>
    </cfRule>
    <cfRule type="containsBlanks" dxfId="306" priority="45">
      <formula>LEN(TRIM(AJ9))=0</formula>
    </cfRule>
  </conditionalFormatting>
  <conditionalFormatting sqref="AL9">
    <cfRule type="expression" dxfId="305" priority="91">
      <formula>AND(AL9&gt;=TODAY(), AM9="A")</formula>
    </cfRule>
    <cfRule type="expression" dxfId="304" priority="92">
      <formula>AND(EDATE(AL9,1),AM9="C")</formula>
    </cfRule>
    <cfRule type="expression" dxfId="303" priority="93">
      <formula>AND(EDATE(AL9,1), AL9&gt;TODAY())</formula>
    </cfRule>
    <cfRule type="expression" dxfId="302" priority="94">
      <formula>AND(EDATE(AL9,1),NOT(ISBLANK(AL9)), AL9&lt;TODAY())</formula>
    </cfRule>
    <cfRule type="containsText" dxfId="301" priority="95" operator="containsText" text="A">
      <formula>NOT(ISERROR(SEARCH("A",AL9)))</formula>
    </cfRule>
    <cfRule type="containsText" dxfId="300" priority="96" operator="containsText" text="D">
      <formula>NOT(ISERROR(SEARCH("D",AL9)))</formula>
    </cfRule>
    <cfRule type="containsText" dxfId="299" priority="97" operator="containsText" text="C">
      <formula>NOT(ISERROR(SEARCH("C",AL9)))</formula>
    </cfRule>
    <cfRule type="containsText" dxfId="298" priority="98" operator="containsText" text="R">
      <formula>NOT(ISERROR(SEARCH("R",AL9)))</formula>
    </cfRule>
    <cfRule type="containsBlanks" dxfId="297" priority="99">
      <formula>LEN(TRIM(AL9))=0</formula>
    </cfRule>
  </conditionalFormatting>
  <conditionalFormatting sqref="AN9:AN10">
    <cfRule type="expression" dxfId="296" priority="172">
      <formula>AND(AN9&gt;=TODAY(), AO9="A")</formula>
    </cfRule>
    <cfRule type="expression" dxfId="295" priority="173">
      <formula>AND(EDATE(AN9,1),AO9="C")</formula>
    </cfRule>
    <cfRule type="expression" dxfId="294" priority="174">
      <formula>AND(EDATE(AN9,1), AN9&gt;TODAY())</formula>
    </cfRule>
    <cfRule type="expression" dxfId="293" priority="175">
      <formula>AND(EDATE(AN9,1),NOT(ISBLANK(AN9)), AN9&lt;TODAY())</formula>
    </cfRule>
    <cfRule type="containsText" dxfId="292" priority="176" operator="containsText" text="A">
      <formula>NOT(ISERROR(SEARCH("A",AN9)))</formula>
    </cfRule>
    <cfRule type="containsText" dxfId="291" priority="177" operator="containsText" text="D">
      <formula>NOT(ISERROR(SEARCH("D",AN9)))</formula>
    </cfRule>
    <cfRule type="containsText" dxfId="290" priority="178" operator="containsText" text="C">
      <formula>NOT(ISERROR(SEARCH("C",AN9)))</formula>
    </cfRule>
    <cfRule type="containsText" dxfId="289" priority="179" operator="containsText" text="R">
      <formula>NOT(ISERROR(SEARCH("R",AN9)))</formula>
    </cfRule>
    <cfRule type="containsBlanks" dxfId="288" priority="180">
      <formula>LEN(TRIM(AN9))=0</formula>
    </cfRule>
  </conditionalFormatting>
  <conditionalFormatting sqref="AO9:AO10">
    <cfRule type="expression" dxfId="287" priority="280">
      <formula>AND(AO9&gt;=TODAY(), #REF!="A")</formula>
    </cfRule>
    <cfRule type="expression" dxfId="286" priority="281">
      <formula>AND(EDATE(AO9,1),#REF!="C")</formula>
    </cfRule>
    <cfRule type="expression" dxfId="285" priority="282">
      <formula>AND(EDATE(AO9,1), AO9&gt;TODAY())</formula>
    </cfRule>
    <cfRule type="expression" dxfId="284" priority="283">
      <formula>AND(EDATE(AO9,1),NOT(ISBLANK(AO9)), AO9&lt;TODAY())</formula>
    </cfRule>
    <cfRule type="containsText" dxfId="283" priority="284" operator="containsText" text="A">
      <formula>NOT(ISERROR(SEARCH("A",AO9)))</formula>
    </cfRule>
    <cfRule type="containsText" dxfId="282" priority="285" operator="containsText" text="D">
      <formula>NOT(ISERROR(SEARCH("D",AO9)))</formula>
    </cfRule>
    <cfRule type="containsText" dxfId="281" priority="286" operator="containsText" text="C">
      <formula>NOT(ISERROR(SEARCH("C",AO9)))</formula>
    </cfRule>
    <cfRule type="containsText" dxfId="280" priority="287" operator="containsText" text="R">
      <formula>NOT(ISERROR(SEARCH("R",AO9)))</formula>
    </cfRule>
    <cfRule type="containsBlanks" dxfId="279" priority="288">
      <formula>LEN(TRIM(AO9))=0</formula>
    </cfRule>
  </conditionalFormatting>
  <conditionalFormatting sqref="AP9:AP10">
    <cfRule type="expression" dxfId="278" priority="82">
      <formula>AND(AP9&gt;=TODAY(), AQ9="A")</formula>
    </cfRule>
    <cfRule type="expression" dxfId="277" priority="83">
      <formula>AND(EDATE(AP9,1),AQ9="C")</formula>
    </cfRule>
    <cfRule type="expression" dxfId="276" priority="84">
      <formula>AND(EDATE(AP9,1), AP9&gt;TODAY())</formula>
    </cfRule>
    <cfRule type="expression" dxfId="275" priority="85">
      <formula>AND(EDATE(AP9,1),NOT(ISBLANK(AP9)), AP9&lt;TODAY())</formula>
    </cfRule>
    <cfRule type="containsText" dxfId="274" priority="86" operator="containsText" text="A">
      <formula>NOT(ISERROR(SEARCH("A",AP9)))</formula>
    </cfRule>
    <cfRule type="containsText" dxfId="273" priority="87" operator="containsText" text="D">
      <formula>NOT(ISERROR(SEARCH("D",AP9)))</formula>
    </cfRule>
    <cfRule type="containsText" dxfId="272" priority="88" operator="containsText" text="C">
      <formula>NOT(ISERROR(SEARCH("C",AP9)))</formula>
    </cfRule>
    <cfRule type="containsText" dxfId="271" priority="89" operator="containsText" text="R">
      <formula>NOT(ISERROR(SEARCH("R",AP9)))</formula>
    </cfRule>
    <cfRule type="containsBlanks" dxfId="270" priority="90">
      <formula>LEN(TRIM(AP9))=0</formula>
    </cfRule>
  </conditionalFormatting>
  <conditionalFormatting sqref="AQ9:AQ10">
    <cfRule type="expression" dxfId="269" priority="73">
      <formula>AND(AQ9&gt;=TODAY(), #REF!="A")</formula>
    </cfRule>
    <cfRule type="expression" dxfId="268" priority="74">
      <formula>AND(EDATE(AQ9,1),#REF!="C")</formula>
    </cfRule>
    <cfRule type="expression" dxfId="267" priority="75">
      <formula>AND(EDATE(AQ9,1), AQ9&gt;TODAY())</formula>
    </cfRule>
    <cfRule type="expression" dxfId="266" priority="76">
      <formula>AND(EDATE(AQ9,1),NOT(ISBLANK(AQ9)), AQ9&lt;TODAY())</formula>
    </cfRule>
    <cfRule type="containsText" dxfId="265" priority="77" operator="containsText" text="A">
      <formula>NOT(ISERROR(SEARCH("A",AQ9)))</formula>
    </cfRule>
    <cfRule type="containsText" dxfId="264" priority="78" operator="containsText" text="D">
      <formula>NOT(ISERROR(SEARCH("D",AQ9)))</formula>
    </cfRule>
    <cfRule type="containsText" dxfId="263" priority="79" operator="containsText" text="C">
      <formula>NOT(ISERROR(SEARCH("C",AQ9)))</formula>
    </cfRule>
    <cfRule type="containsText" dxfId="262" priority="80" operator="containsText" text="R">
      <formula>NOT(ISERROR(SEARCH("R",AQ9)))</formula>
    </cfRule>
    <cfRule type="containsBlanks" dxfId="261" priority="81">
      <formula>LEN(TRIM(AQ9))=0</formula>
    </cfRule>
  </conditionalFormatting>
  <conditionalFormatting sqref="AS9 AU9 AW9:AW10 AS10:AU10">
    <cfRule type="expression" dxfId="260" priority="271">
      <formula>AND(AS9&gt;=TODAY(), #REF!="A")</formula>
    </cfRule>
    <cfRule type="expression" dxfId="259" priority="272">
      <formula>AND(EDATE(AS9,1),#REF!="C")</formula>
    </cfRule>
    <cfRule type="expression" dxfId="258" priority="273">
      <formula>AND(EDATE(AS9,1), AS9&gt;TODAY())</formula>
    </cfRule>
    <cfRule type="expression" dxfId="257" priority="274">
      <formula>AND(EDATE(AS9,1),NOT(ISBLANK(AS9)), AS9&lt;TODAY())</formula>
    </cfRule>
    <cfRule type="containsText" dxfId="256" priority="275" operator="containsText" text="A">
      <formula>NOT(ISERROR(SEARCH("A",AS9)))</formula>
    </cfRule>
    <cfRule type="containsText" dxfId="255" priority="276" operator="containsText" text="D">
      <formula>NOT(ISERROR(SEARCH("D",AS9)))</formula>
    </cfRule>
    <cfRule type="containsText" dxfId="254" priority="277" operator="containsText" text="C">
      <formula>NOT(ISERROR(SEARCH("C",AS9)))</formula>
    </cfRule>
    <cfRule type="containsText" dxfId="253" priority="278" operator="containsText" text="R">
      <formula>NOT(ISERROR(SEARCH("R",AS9)))</formula>
    </cfRule>
    <cfRule type="containsBlanks" dxfId="252" priority="279">
      <formula>LEN(TRIM(AS9))=0</formula>
    </cfRule>
  </conditionalFormatting>
  <conditionalFormatting sqref="AT9">
    <cfRule type="expression" dxfId="251" priority="10">
      <formula>AND(AT9&gt;=TODAY(), AU9="A")</formula>
    </cfRule>
    <cfRule type="expression" dxfId="250" priority="11">
      <formula>AND(EDATE(AT9,1),AU9="C")</formula>
    </cfRule>
    <cfRule type="expression" dxfId="249" priority="12">
      <formula>AND(EDATE(AT9,1), AT9&gt;TODAY())</formula>
    </cfRule>
    <cfRule type="expression" dxfId="248" priority="13">
      <formula>AND(EDATE(AT9,1),NOT(ISBLANK(AT9)), AT9&lt;TODAY())</formula>
    </cfRule>
    <cfRule type="containsText" dxfId="247" priority="14" operator="containsText" text="A">
      <formula>NOT(ISERROR(SEARCH("A",AT9)))</formula>
    </cfRule>
    <cfRule type="containsText" dxfId="246" priority="15" operator="containsText" text="D">
      <formula>NOT(ISERROR(SEARCH("D",AT9)))</formula>
    </cfRule>
    <cfRule type="containsText" dxfId="245" priority="16" operator="containsText" text="C">
      <formula>NOT(ISERROR(SEARCH("C",AT9)))</formula>
    </cfRule>
    <cfRule type="containsText" dxfId="244" priority="17" operator="containsText" text="R">
      <formula>NOT(ISERROR(SEARCH("R",AT9)))</formula>
    </cfRule>
    <cfRule type="containsBlanks" dxfId="243" priority="18">
      <formula>LEN(TRIM(AT9))=0</formula>
    </cfRule>
  </conditionalFormatting>
  <conditionalFormatting sqref="AV9:AV10">
    <cfRule type="expression" dxfId="242" priority="46">
      <formula>AND(AV9&gt;=TODAY(), AW9="A")</formula>
    </cfRule>
    <cfRule type="expression" dxfId="241" priority="47">
      <formula>AND(EDATE(AV9,1),AW9="C")</formula>
    </cfRule>
    <cfRule type="expression" dxfId="240" priority="48">
      <formula>AND(EDATE(AV9,1), AV9&gt;TODAY())</formula>
    </cfRule>
    <cfRule type="expression" dxfId="239" priority="49">
      <formula>AND(EDATE(AV9,1),NOT(ISBLANK(AV9)), AV9&lt;TODAY())</formula>
    </cfRule>
    <cfRule type="containsText" dxfId="238" priority="50" operator="containsText" text="A">
      <formula>NOT(ISERROR(SEARCH("A",AV9)))</formula>
    </cfRule>
    <cfRule type="containsText" dxfId="237" priority="51" operator="containsText" text="D">
      <formula>NOT(ISERROR(SEARCH("D",AV9)))</formula>
    </cfRule>
    <cfRule type="containsText" dxfId="236" priority="52" operator="containsText" text="C">
      <formula>NOT(ISERROR(SEARCH("C",AV9)))</formula>
    </cfRule>
    <cfRule type="containsText" dxfId="235" priority="53" operator="containsText" text="R">
      <formula>NOT(ISERROR(SEARCH("R",AV9)))</formula>
    </cfRule>
    <cfRule type="containsBlanks" dxfId="234" priority="54">
      <formula>LEN(TRIM(AV9))=0</formula>
    </cfRule>
  </conditionalFormatting>
  <conditionalFormatting sqref="AX9:AX10">
    <cfRule type="expression" dxfId="233" priority="487">
      <formula>AND(AX9&gt;=TODAY(), AY9="A")</formula>
    </cfRule>
    <cfRule type="expression" dxfId="232" priority="488">
      <formula>AND(EDATE(AX9,1),AY9="C")</formula>
    </cfRule>
    <cfRule type="expression" dxfId="231" priority="489">
      <formula>AND(EDATE(AX9,1), AX9&gt;TODAY())</formula>
    </cfRule>
    <cfRule type="expression" dxfId="230" priority="490">
      <formula>AND(EDATE(AX9,1),NOT(ISBLANK(AX9)), AX9&lt;TODAY())</formula>
    </cfRule>
    <cfRule type="containsText" dxfId="229" priority="491" operator="containsText" text="A">
      <formula>NOT(ISERROR(SEARCH("A",AX9)))</formula>
    </cfRule>
    <cfRule type="containsText" dxfId="228" priority="492" operator="containsText" text="D">
      <formula>NOT(ISERROR(SEARCH("D",AX9)))</formula>
    </cfRule>
    <cfRule type="containsText" dxfId="227" priority="493" operator="containsText" text="C">
      <formula>NOT(ISERROR(SEARCH("C",AX9)))</formula>
    </cfRule>
    <cfRule type="containsText" dxfId="226" priority="494" operator="containsText" text="R">
      <formula>NOT(ISERROR(SEARCH("R",AX9)))</formula>
    </cfRule>
    <cfRule type="containsBlanks" dxfId="225" priority="495">
      <formula>LEN(TRIM(AX9))=0</formula>
    </cfRule>
  </conditionalFormatting>
  <conditionalFormatting sqref="AY9:AY10">
    <cfRule type="expression" dxfId="224" priority="262">
      <formula>AND(AY9&gt;=TODAY(), #REF!="A")</formula>
    </cfRule>
    <cfRule type="expression" dxfId="223" priority="263">
      <formula>AND(EDATE(AY9,1),#REF!="C")</formula>
    </cfRule>
    <cfRule type="expression" dxfId="222" priority="264">
      <formula>AND(EDATE(AY9,1), AY9&gt;TODAY())</formula>
    </cfRule>
    <cfRule type="expression" dxfId="221" priority="265">
      <formula>AND(EDATE(AY9,1),NOT(ISBLANK(AY9)), AY9&lt;TODAY())</formula>
    </cfRule>
    <cfRule type="containsText" dxfId="220" priority="266" operator="containsText" text="A">
      <formula>NOT(ISERROR(SEARCH("A",AY9)))</formula>
    </cfRule>
    <cfRule type="containsText" dxfId="219" priority="267" operator="containsText" text="D">
      <formula>NOT(ISERROR(SEARCH("D",AY9)))</formula>
    </cfRule>
    <cfRule type="containsText" dxfId="218" priority="268" operator="containsText" text="C">
      <formula>NOT(ISERROR(SEARCH("C",AY9)))</formula>
    </cfRule>
    <cfRule type="containsText" dxfId="217" priority="269" operator="containsText" text="R">
      <formula>NOT(ISERROR(SEARCH("R",AY9)))</formula>
    </cfRule>
    <cfRule type="containsBlanks" dxfId="216" priority="270">
      <formula>LEN(TRIM(AY9))=0</formula>
    </cfRule>
  </conditionalFormatting>
  <conditionalFormatting sqref="AZ9:AZ10">
    <cfRule type="expression" dxfId="215" priority="451">
      <formula>AND(AZ9&gt;=TODAY(), BA9="A")</formula>
    </cfRule>
    <cfRule type="expression" dxfId="214" priority="452">
      <formula>AND(EDATE(AZ9,1),BA9="C")</formula>
    </cfRule>
    <cfRule type="expression" dxfId="213" priority="453">
      <formula>AND(EDATE(AZ9,1), AZ9&gt;TODAY())</formula>
    </cfRule>
    <cfRule type="expression" dxfId="212" priority="454">
      <formula>AND(EDATE(AZ9,1),NOT(ISBLANK(AZ9)), AZ9&lt;TODAY())</formula>
    </cfRule>
    <cfRule type="containsText" dxfId="211" priority="455" operator="containsText" text="A">
      <formula>NOT(ISERROR(SEARCH("A",AZ9)))</formula>
    </cfRule>
    <cfRule type="containsText" dxfId="210" priority="456" operator="containsText" text="D">
      <formula>NOT(ISERROR(SEARCH("D",AZ9)))</formula>
    </cfRule>
    <cfRule type="containsText" dxfId="209" priority="457" operator="containsText" text="C">
      <formula>NOT(ISERROR(SEARCH("C",AZ9)))</formula>
    </cfRule>
    <cfRule type="containsText" dxfId="208" priority="458" operator="containsText" text="R">
      <formula>NOT(ISERROR(SEARCH("R",AZ9)))</formula>
    </cfRule>
    <cfRule type="containsBlanks" dxfId="207" priority="459">
      <formula>LEN(TRIM(AZ9))=0</formula>
    </cfRule>
  </conditionalFormatting>
  <conditionalFormatting sqref="BA9:BA10">
    <cfRule type="expression" dxfId="206" priority="253">
      <formula>AND(BA9&gt;=TODAY(), #REF!="A")</formula>
    </cfRule>
    <cfRule type="expression" dxfId="205" priority="254">
      <formula>AND(EDATE(BA9,1),#REF!="C")</formula>
    </cfRule>
    <cfRule type="expression" dxfId="204" priority="255">
      <formula>AND(EDATE(BA9,1), BA9&gt;TODAY())</formula>
    </cfRule>
    <cfRule type="expression" dxfId="203" priority="256">
      <formula>AND(EDATE(BA9,1),NOT(ISBLANK(BA9)), BA9&lt;TODAY())</formula>
    </cfRule>
    <cfRule type="containsText" dxfId="202" priority="257" operator="containsText" text="A">
      <formula>NOT(ISERROR(SEARCH("A",BA9)))</formula>
    </cfRule>
    <cfRule type="containsText" dxfId="201" priority="258" operator="containsText" text="D">
      <formula>NOT(ISERROR(SEARCH("D",BA9)))</formula>
    </cfRule>
    <cfRule type="containsText" dxfId="200" priority="259" operator="containsText" text="C">
      <formula>NOT(ISERROR(SEARCH("C",BA9)))</formula>
    </cfRule>
    <cfRule type="containsText" dxfId="199" priority="260" operator="containsText" text="R">
      <formula>NOT(ISERROR(SEARCH("R",BA9)))</formula>
    </cfRule>
    <cfRule type="containsBlanks" dxfId="198" priority="261">
      <formula>LEN(TRIM(BA9))=0</formula>
    </cfRule>
  </conditionalFormatting>
  <conditionalFormatting sqref="BB9:BB10">
    <cfRule type="expression" dxfId="197" priority="433">
      <formula>AND(BB9&gt;=TODAY(), BC9="A")</formula>
    </cfRule>
    <cfRule type="expression" dxfId="196" priority="434">
      <formula>AND(EDATE(BB9,1),BC9="C")</formula>
    </cfRule>
    <cfRule type="expression" dxfId="195" priority="435">
      <formula>AND(EDATE(BB9,1), BB9&gt;TODAY())</formula>
    </cfRule>
    <cfRule type="expression" dxfId="194" priority="436">
      <formula>AND(EDATE(BB9,1),NOT(ISBLANK(BB9)), BB9&lt;TODAY())</formula>
    </cfRule>
    <cfRule type="containsText" dxfId="193" priority="437" operator="containsText" text="A">
      <formula>NOT(ISERROR(SEARCH("A",BB9)))</formula>
    </cfRule>
    <cfRule type="containsText" dxfId="192" priority="438" operator="containsText" text="D">
      <formula>NOT(ISERROR(SEARCH("D",BB9)))</formula>
    </cfRule>
    <cfRule type="containsText" dxfId="191" priority="439" operator="containsText" text="C">
      <formula>NOT(ISERROR(SEARCH("C",BB9)))</formula>
    </cfRule>
    <cfRule type="containsText" dxfId="190" priority="440" operator="containsText" text="R">
      <formula>NOT(ISERROR(SEARCH("R",BB9)))</formula>
    </cfRule>
    <cfRule type="containsBlanks" dxfId="189" priority="441">
      <formula>LEN(TRIM(BB9))=0</formula>
    </cfRule>
  </conditionalFormatting>
  <conditionalFormatting sqref="BC9:BC10">
    <cfRule type="expression" dxfId="188" priority="244">
      <formula>AND(BC9&gt;=TODAY(), #REF!="A")</formula>
    </cfRule>
    <cfRule type="expression" dxfId="187" priority="245">
      <formula>AND(EDATE(BC9,1),#REF!="C")</formula>
    </cfRule>
    <cfRule type="expression" dxfId="186" priority="246">
      <formula>AND(EDATE(BC9,1), BC9&gt;TODAY())</formula>
    </cfRule>
    <cfRule type="expression" dxfId="185" priority="247">
      <formula>AND(EDATE(BC9,1),NOT(ISBLANK(BC9)), BC9&lt;TODAY())</formula>
    </cfRule>
    <cfRule type="containsText" dxfId="184" priority="248" operator="containsText" text="A">
      <formula>NOT(ISERROR(SEARCH("A",BC9)))</formula>
    </cfRule>
    <cfRule type="containsText" dxfId="183" priority="249" operator="containsText" text="D">
      <formula>NOT(ISERROR(SEARCH("D",BC9)))</formula>
    </cfRule>
    <cfRule type="containsText" dxfId="182" priority="250" operator="containsText" text="C">
      <formula>NOT(ISERROR(SEARCH("C",BC9)))</formula>
    </cfRule>
    <cfRule type="containsText" dxfId="181" priority="251" operator="containsText" text="R">
      <formula>NOT(ISERROR(SEARCH("R",BC9)))</formula>
    </cfRule>
    <cfRule type="containsBlanks" dxfId="180" priority="252">
      <formula>LEN(TRIM(BC9))=0</formula>
    </cfRule>
  </conditionalFormatting>
  <conditionalFormatting sqref="BE9:BE10">
    <cfRule type="expression" dxfId="179" priority="235">
      <formula>AND(BE9&gt;=TODAY(), #REF!="A")</formula>
    </cfRule>
    <cfRule type="expression" dxfId="178" priority="236">
      <formula>AND(EDATE(BE9,1),#REF!="C")</formula>
    </cfRule>
    <cfRule type="expression" dxfId="177" priority="237">
      <formula>AND(EDATE(BE9,1), BE9&gt;TODAY())</formula>
    </cfRule>
    <cfRule type="expression" dxfId="176" priority="238">
      <formula>AND(EDATE(BE9,1),NOT(ISBLANK(BE9)), BE9&lt;TODAY())</formula>
    </cfRule>
    <cfRule type="containsText" dxfId="175" priority="239" operator="containsText" text="A">
      <formula>NOT(ISERROR(SEARCH("A",BE9)))</formula>
    </cfRule>
    <cfRule type="containsText" dxfId="174" priority="240" operator="containsText" text="D">
      <formula>NOT(ISERROR(SEARCH("D",BE9)))</formula>
    </cfRule>
    <cfRule type="containsText" dxfId="173" priority="241" operator="containsText" text="C">
      <formula>NOT(ISERROR(SEARCH("C",BE9)))</formula>
    </cfRule>
    <cfRule type="containsText" dxfId="172" priority="242" operator="containsText" text="R">
      <formula>NOT(ISERROR(SEARCH("R",BE9)))</formula>
    </cfRule>
    <cfRule type="containsBlanks" dxfId="171" priority="243">
      <formula>LEN(TRIM(BE9))=0</formula>
    </cfRule>
  </conditionalFormatting>
  <conditionalFormatting sqref="BG9:BG10">
    <cfRule type="expression" dxfId="170" priority="226">
      <formula>AND(BG9&gt;=TODAY(), #REF!="A")</formula>
    </cfRule>
    <cfRule type="expression" dxfId="169" priority="227">
      <formula>AND(EDATE(BG9,1),#REF!="C")</formula>
    </cfRule>
    <cfRule type="expression" dxfId="168" priority="228">
      <formula>AND(EDATE(BG9,1), BG9&gt;TODAY())</formula>
    </cfRule>
    <cfRule type="expression" dxfId="167" priority="229">
      <formula>AND(EDATE(BG9,1),NOT(ISBLANK(BG9)), BG9&lt;TODAY())</formula>
    </cfRule>
    <cfRule type="containsText" dxfId="166" priority="230" operator="containsText" text="A">
      <formula>NOT(ISERROR(SEARCH("A",BG9)))</formula>
    </cfRule>
    <cfRule type="containsText" dxfId="165" priority="231" operator="containsText" text="D">
      <formula>NOT(ISERROR(SEARCH("D",BG9)))</formula>
    </cfRule>
    <cfRule type="containsText" dxfId="164" priority="232" operator="containsText" text="C">
      <formula>NOT(ISERROR(SEARCH("C",BG9)))</formula>
    </cfRule>
    <cfRule type="containsText" dxfId="163" priority="233" operator="containsText" text="R">
      <formula>NOT(ISERROR(SEARCH("R",BG9)))</formula>
    </cfRule>
    <cfRule type="containsBlanks" dxfId="162" priority="234">
      <formula>LEN(TRIM(BG9))=0</formula>
    </cfRule>
  </conditionalFormatting>
  <conditionalFormatting sqref="BI9:BI10">
    <cfRule type="expression" dxfId="161" priority="217">
      <formula>AND(BI9&gt;=TODAY(), #REF!="A")</formula>
    </cfRule>
    <cfRule type="expression" dxfId="160" priority="218">
      <formula>AND(EDATE(BI9,1),#REF!="C")</formula>
    </cfRule>
    <cfRule type="expression" dxfId="159" priority="219">
      <formula>AND(EDATE(BI9,1), BI9&gt;TODAY())</formula>
    </cfRule>
    <cfRule type="expression" dxfId="158" priority="220">
      <formula>AND(EDATE(BI9,1),NOT(ISBLANK(BI9)), BI9&lt;TODAY())</formula>
    </cfRule>
    <cfRule type="containsText" dxfId="157" priority="221" operator="containsText" text="A">
      <formula>NOT(ISERROR(SEARCH("A",BI9)))</formula>
    </cfRule>
    <cfRule type="containsText" dxfId="156" priority="222" operator="containsText" text="D">
      <formula>NOT(ISERROR(SEARCH("D",BI9)))</formula>
    </cfRule>
    <cfRule type="containsText" dxfId="155" priority="223" operator="containsText" text="C">
      <formula>NOT(ISERROR(SEARCH("C",BI9)))</formula>
    </cfRule>
    <cfRule type="containsText" dxfId="154" priority="224" operator="containsText" text="R">
      <formula>NOT(ISERROR(SEARCH("R",BI9)))</formula>
    </cfRule>
    <cfRule type="containsBlanks" dxfId="153" priority="225">
      <formula>LEN(TRIM(BI9))=0</formula>
    </cfRule>
  </conditionalFormatting>
  <conditionalFormatting sqref="BJ9:BJ10 BL9:BL10 BN9:BN10 BP9:BP10">
    <cfRule type="expression" dxfId="152" priority="505">
      <formula>AND(BJ9&gt;=TODAY(), BK9="A")</formula>
    </cfRule>
    <cfRule type="expression" dxfId="151" priority="506">
      <formula>AND(EDATE(BJ9,1),BK9="C")</formula>
    </cfRule>
    <cfRule type="expression" dxfId="150" priority="507">
      <formula>AND(EDATE(BJ9,1), BJ9&gt;TODAY())</formula>
    </cfRule>
    <cfRule type="expression" dxfId="149" priority="508">
      <formula>AND(EDATE(BJ9,1),NOT(ISBLANK(BJ9)), BJ9&lt;TODAY())</formula>
    </cfRule>
    <cfRule type="containsText" dxfId="148" priority="509" operator="containsText" text="A">
      <formula>NOT(ISERROR(SEARCH("A",BJ9)))</formula>
    </cfRule>
    <cfRule type="containsText" dxfId="147" priority="510" operator="containsText" text="D">
      <formula>NOT(ISERROR(SEARCH("D",BJ9)))</formula>
    </cfRule>
    <cfRule type="containsText" dxfId="146" priority="511" operator="containsText" text="C">
      <formula>NOT(ISERROR(SEARCH("C",BJ9)))</formula>
    </cfRule>
    <cfRule type="containsText" dxfId="145" priority="512" operator="containsText" text="R">
      <formula>NOT(ISERROR(SEARCH("R",BJ9)))</formula>
    </cfRule>
    <cfRule type="containsBlanks" dxfId="144" priority="513">
      <formula>LEN(TRIM(BJ9))=0</formula>
    </cfRule>
  </conditionalFormatting>
  <conditionalFormatting sqref="BK9:BK10">
    <cfRule type="expression" dxfId="143" priority="208">
      <formula>AND(BK9&gt;=TODAY(), #REF!="A")</formula>
    </cfRule>
    <cfRule type="expression" dxfId="142" priority="209">
      <formula>AND(EDATE(BK9,1),#REF!="C")</formula>
    </cfRule>
    <cfRule type="expression" dxfId="141" priority="210">
      <formula>AND(EDATE(BK9,1), BK9&gt;TODAY())</formula>
    </cfRule>
    <cfRule type="expression" dxfId="140" priority="211">
      <formula>AND(EDATE(BK9,1),NOT(ISBLANK(BK9)), BK9&lt;TODAY())</formula>
    </cfRule>
    <cfRule type="containsText" dxfId="139" priority="212" operator="containsText" text="A">
      <formula>NOT(ISERROR(SEARCH("A",BK9)))</formula>
    </cfRule>
    <cfRule type="containsText" dxfId="138" priority="213" operator="containsText" text="D">
      <formula>NOT(ISERROR(SEARCH("D",BK9)))</formula>
    </cfRule>
    <cfRule type="containsText" dxfId="137" priority="214" operator="containsText" text="C">
      <formula>NOT(ISERROR(SEARCH("C",BK9)))</formula>
    </cfRule>
    <cfRule type="containsText" dxfId="136" priority="215" operator="containsText" text="R">
      <formula>NOT(ISERROR(SEARCH("R",BK9)))</formula>
    </cfRule>
    <cfRule type="containsBlanks" dxfId="135" priority="216">
      <formula>LEN(TRIM(BK9))=0</formula>
    </cfRule>
  </conditionalFormatting>
  <conditionalFormatting sqref="BM9:BM10">
    <cfRule type="expression" dxfId="134" priority="199">
      <formula>AND(BM9&gt;=TODAY(), #REF!="A")</formula>
    </cfRule>
    <cfRule type="expression" dxfId="133" priority="200">
      <formula>AND(EDATE(BM9,1),#REF!="C")</formula>
    </cfRule>
    <cfRule type="expression" dxfId="132" priority="201">
      <formula>AND(EDATE(BM9,1), BM9&gt;TODAY())</formula>
    </cfRule>
    <cfRule type="expression" dxfId="131" priority="202">
      <formula>AND(EDATE(BM9,1),NOT(ISBLANK(BM9)), BM9&lt;TODAY())</formula>
    </cfRule>
    <cfRule type="containsText" dxfId="130" priority="203" operator="containsText" text="A">
      <formula>NOT(ISERROR(SEARCH("A",BM9)))</formula>
    </cfRule>
    <cfRule type="containsText" dxfId="129" priority="204" operator="containsText" text="D">
      <formula>NOT(ISERROR(SEARCH("D",BM9)))</formula>
    </cfRule>
    <cfRule type="containsText" dxfId="128" priority="205" operator="containsText" text="C">
      <formula>NOT(ISERROR(SEARCH("C",BM9)))</formula>
    </cfRule>
    <cfRule type="containsText" dxfId="127" priority="206" operator="containsText" text="R">
      <formula>NOT(ISERROR(SEARCH("R",BM9)))</formula>
    </cfRule>
    <cfRule type="containsBlanks" dxfId="126" priority="207">
      <formula>LEN(TRIM(BM9))=0</formula>
    </cfRule>
  </conditionalFormatting>
  <conditionalFormatting sqref="BO9:BO10">
    <cfRule type="expression" dxfId="125" priority="190">
      <formula>AND(BO9&gt;=TODAY(), #REF!="A")</formula>
    </cfRule>
    <cfRule type="expression" dxfId="124" priority="191">
      <formula>AND(EDATE(BO9,1),#REF!="C")</formula>
    </cfRule>
    <cfRule type="expression" dxfId="123" priority="192">
      <formula>AND(EDATE(BO9,1), BO9&gt;TODAY())</formula>
    </cfRule>
    <cfRule type="expression" dxfId="122" priority="193">
      <formula>AND(EDATE(BO9,1),NOT(ISBLANK(BO9)), BO9&lt;TODAY())</formula>
    </cfRule>
    <cfRule type="containsText" dxfId="121" priority="194" operator="containsText" text="A">
      <formula>NOT(ISERROR(SEARCH("A",BO9)))</formula>
    </cfRule>
    <cfRule type="containsText" dxfId="120" priority="195" operator="containsText" text="D">
      <formula>NOT(ISERROR(SEARCH("D",BO9)))</formula>
    </cfRule>
    <cfRule type="containsText" dxfId="119" priority="196" operator="containsText" text="C">
      <formula>NOT(ISERROR(SEARCH("C",BO9)))</formula>
    </cfRule>
    <cfRule type="containsText" dxfId="118" priority="197" operator="containsText" text="R">
      <formula>NOT(ISERROR(SEARCH("R",BO9)))</formula>
    </cfRule>
    <cfRule type="containsBlanks" dxfId="117" priority="198">
      <formula>LEN(TRIM(BO9))=0</formula>
    </cfRule>
  </conditionalFormatting>
  <conditionalFormatting sqref="BQ9:BQ10">
    <cfRule type="expression" dxfId="116" priority="181">
      <formula>AND(BQ9&gt;=TODAY(), #REF!="A")</formula>
    </cfRule>
    <cfRule type="expression" dxfId="115" priority="182">
      <formula>AND(EDATE(BQ9,1),#REF!="C")</formula>
    </cfRule>
    <cfRule type="expression" dxfId="114" priority="183">
      <formula>AND(EDATE(BQ9,1), BQ9&gt;TODAY())</formula>
    </cfRule>
    <cfRule type="expression" dxfId="113" priority="184">
      <formula>AND(EDATE(BQ9,1),NOT(ISBLANK(BQ9)), BQ9&lt;TODAY())</formula>
    </cfRule>
    <cfRule type="containsText" dxfId="112" priority="185" operator="containsText" text="A">
      <formula>NOT(ISERROR(SEARCH("A",BQ9)))</formula>
    </cfRule>
    <cfRule type="containsText" dxfId="111" priority="186" operator="containsText" text="D">
      <formula>NOT(ISERROR(SEARCH("D",BQ9)))</formula>
    </cfRule>
    <cfRule type="containsText" dxfId="110" priority="187" operator="containsText" text="C">
      <formula>NOT(ISERROR(SEARCH("C",BQ9)))</formula>
    </cfRule>
    <cfRule type="containsText" dxfId="109" priority="188" operator="containsText" text="R">
      <formula>NOT(ISERROR(SEARCH("R",BQ9)))</formula>
    </cfRule>
    <cfRule type="containsBlanks" dxfId="108" priority="189">
      <formula>LEN(TRIM(BQ9))=0</formula>
    </cfRule>
  </conditionalFormatting>
  <conditionalFormatting sqref="R9">
    <cfRule type="expression" dxfId="107" priority="1">
      <formula>AND(R9&gt;=TODAY(), S9="A")</formula>
    </cfRule>
    <cfRule type="expression" dxfId="106" priority="2">
      <formula>AND(EDATE(R9,1),S9="C")</formula>
    </cfRule>
    <cfRule type="expression" dxfId="105" priority="3">
      <formula>AND(EDATE(R9,1), R9&gt;TODAY())</formula>
    </cfRule>
    <cfRule type="expression" dxfId="104" priority="4">
      <formula>AND(EDATE(R9,1),NOT(ISBLANK(R9)), R9&lt;TODAY())</formula>
    </cfRule>
    <cfRule type="containsText" dxfId="103" priority="5" operator="containsText" text="A">
      <formula>NOT(ISERROR(SEARCH("A",R9)))</formula>
    </cfRule>
    <cfRule type="containsText" dxfId="102" priority="6" operator="containsText" text="D">
      <formula>NOT(ISERROR(SEARCH("D",R9)))</formula>
    </cfRule>
    <cfRule type="containsText" dxfId="101" priority="7" operator="containsText" text="C">
      <formula>NOT(ISERROR(SEARCH("C",R9)))</formula>
    </cfRule>
    <cfRule type="containsText" dxfId="100" priority="8" operator="containsText" text="R">
      <formula>NOT(ISERROR(SEARCH("R",R9)))</formula>
    </cfRule>
    <cfRule type="containsBlanks" dxfId="99" priority="9">
      <formula>LEN(TRIM(R9))=0</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B090E52-5106-4E13-9474-8020E0DAD7ED}">
          <x14:formula1>
            <xm:f>'Blackout Dates'!$D$2:$D$5</xm:f>
          </x14:formula1>
          <xm:sqref>G9:G10 I9:I10 K9:K10 BQ9:BQ10 AQ9:AQ10 Y9:Y10 AA9:AA10 AC9:AC10 AE9:AE10 AG9:AG10 AM9 W9 AY9:AY10 BA9:BA10 BC9:BC10 BE9:BE10 BG9:BG10 BI9:BI10 BK9:BK10 BM9:BM10 BO9:BO10 Q9:Q10 N10 M9:M10 O9:O10 AW9:AW10 AO9:AO10 AK9 T10:W10 AI9:AI10 AJ10:AM10 S9:S10 U9 AS9:AS10 AT10:AU10 AU9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2385D-2C93-45D6-BB62-46015D2B496E}">
  <dimension ref="B1:BO10"/>
  <sheetViews>
    <sheetView showGridLines="0" zoomScaleNormal="100" workbookViewId="0">
      <pane xSplit="5" ySplit="8" topLeftCell="R9" activePane="bottomRight" state="frozen"/>
      <selection pane="bottomRight" activeCell="F5" sqref="F5:G5"/>
      <selection pane="bottomLeft" activeCell="A5" sqref="A5"/>
      <selection pane="topRight" activeCell="F1" sqref="F1"/>
    </sheetView>
  </sheetViews>
  <sheetFormatPr defaultColWidth="9.140625" defaultRowHeight="14.45" outlineLevelRow="1"/>
  <cols>
    <col min="1" max="1" width="1.42578125" style="1" customWidth="1"/>
    <col min="2" max="2" width="36.42578125" style="1" customWidth="1"/>
    <col min="3" max="3" width="10.5703125" style="1" customWidth="1"/>
    <col min="4" max="4" width="12" style="2" bestFit="1" customWidth="1"/>
    <col min="5" max="5" width="14" style="1" customWidth="1"/>
    <col min="6" max="6" width="9.42578125" style="1" customWidth="1"/>
    <col min="7" max="7" width="3" style="1" customWidth="1"/>
    <col min="8" max="8" width="10.5703125" style="1" customWidth="1"/>
    <col min="9" max="9" width="3.42578125" style="1" customWidth="1"/>
    <col min="10" max="10" width="9.140625" style="2" customWidth="1"/>
    <col min="11" max="11" width="2.5703125" style="1" customWidth="1"/>
    <col min="12" max="12" width="10.85546875" style="1" customWidth="1"/>
    <col min="13" max="13" width="3.42578125" style="1" customWidth="1"/>
    <col min="14" max="14" width="10" style="1" customWidth="1"/>
    <col min="15" max="15" width="3.85546875" style="1" customWidth="1"/>
    <col min="16" max="16" width="7.42578125" style="1" bestFit="1" customWidth="1"/>
    <col min="17" max="17" width="3" style="1" customWidth="1"/>
    <col min="18" max="18" width="7.42578125" style="1" bestFit="1" customWidth="1"/>
    <col min="19" max="19" width="2.5703125" style="1" customWidth="1"/>
    <col min="20" max="20" width="12.5703125" style="1" customWidth="1"/>
    <col min="21" max="21" width="3.140625" style="1" customWidth="1"/>
    <col min="22" max="22" width="15" style="1" customWidth="1"/>
    <col min="23" max="23" width="3.140625" style="1" customWidth="1"/>
    <col min="24" max="24" width="12.42578125" style="1" customWidth="1"/>
    <col min="25" max="25" width="3.42578125" style="1" customWidth="1"/>
    <col min="26" max="26" width="11" style="1" customWidth="1"/>
    <col min="27" max="27" width="2.85546875" style="1" customWidth="1"/>
    <col min="28" max="28" width="10.42578125" style="1" customWidth="1"/>
    <col min="29" max="29" width="3.42578125" style="1" customWidth="1"/>
    <col min="30" max="30" width="8.5703125" style="1" customWidth="1"/>
    <col min="31" max="31" width="2.5703125" style="1" customWidth="1"/>
    <col min="32" max="32" width="7.5703125" style="1" bestFit="1" customWidth="1"/>
    <col min="33" max="33" width="3.140625" style="1" customWidth="1"/>
    <col min="34" max="34" width="10.140625" style="1" customWidth="1"/>
    <col min="35" max="35" width="3.42578125" style="1" customWidth="1"/>
    <col min="36" max="36" width="9.42578125" style="1" customWidth="1"/>
    <col min="37" max="37" width="3.42578125" style="1" customWidth="1"/>
    <col min="38" max="38" width="13.140625" style="1" customWidth="1"/>
    <col min="39" max="39" width="2" style="1" bestFit="1" customWidth="1"/>
    <col min="40" max="40" width="8.85546875" style="1" customWidth="1"/>
    <col min="41" max="41" width="2" style="1" bestFit="1" customWidth="1"/>
    <col min="42" max="42" width="10.5703125" style="1" customWidth="1"/>
    <col min="43" max="43" width="2.5703125" style="1" customWidth="1"/>
    <col min="44" max="44" width="7.42578125" style="1" bestFit="1" customWidth="1"/>
    <col min="45" max="45" width="2.5703125" style="1" customWidth="1"/>
    <col min="46" max="46" width="10.5703125" style="1" customWidth="1"/>
    <col min="47" max="47" width="2.140625" style="1" customWidth="1"/>
    <col min="48" max="48" width="9.140625" style="1"/>
    <col min="49" max="49" width="3" style="1" customWidth="1"/>
    <col min="50" max="50" width="9.140625" style="1"/>
    <col min="51" max="51" width="3.140625" style="1" customWidth="1"/>
    <col min="52" max="52" width="11.85546875" style="1" customWidth="1"/>
    <col min="53" max="53" width="3.5703125" style="1" customWidth="1"/>
    <col min="54" max="54" width="9.140625" style="1"/>
    <col min="55" max="55" width="3.140625" style="1" customWidth="1"/>
    <col min="56" max="56" width="9.140625" style="1"/>
    <col min="57" max="57" width="3.5703125" style="1" customWidth="1"/>
    <col min="58" max="58" width="9.140625" style="1"/>
    <col min="59" max="59" width="3.5703125" style="1" customWidth="1"/>
    <col min="60" max="60" width="9.140625" style="1"/>
    <col min="61" max="61" width="3.5703125" style="1" customWidth="1"/>
    <col min="62" max="62" width="9.140625" style="1"/>
    <col min="63" max="63" width="3.85546875" style="1" customWidth="1"/>
    <col min="64" max="64" width="9.140625" style="1"/>
    <col min="65" max="65" width="3.42578125" style="1" customWidth="1"/>
    <col min="66" max="66" width="9.140625" style="1"/>
    <col min="67" max="67" width="3.42578125" style="1" customWidth="1"/>
    <col min="68" max="16384" width="9.140625" style="1"/>
  </cols>
  <sheetData>
    <row r="1" spans="2:67" ht="18.600000000000001">
      <c r="B1" s="5" t="s">
        <v>4</v>
      </c>
      <c r="F1"/>
      <c r="G1"/>
      <c r="P1" s="25" t="s">
        <v>5</v>
      </c>
    </row>
    <row r="2" spans="2:67" ht="5.25" customHeight="1" thickBot="1">
      <c r="B2" s="5"/>
      <c r="F2"/>
      <c r="G2"/>
    </row>
    <row r="3" spans="2:67" ht="24" customHeight="1" thickBot="1">
      <c r="B3" s="1" t="s">
        <v>6</v>
      </c>
      <c r="C3" s="4">
        <v>45703</v>
      </c>
      <c r="E3" s="22" t="s">
        <v>90</v>
      </c>
      <c r="F3" s="29" t="s">
        <v>8</v>
      </c>
      <c r="G3" s="17" t="s">
        <v>0</v>
      </c>
      <c r="H3" s="30" t="s">
        <v>9</v>
      </c>
      <c r="I3" s="19" t="s">
        <v>1</v>
      </c>
      <c r="J3" s="48" t="s">
        <v>11</v>
      </c>
      <c r="K3" s="49" t="s">
        <v>3</v>
      </c>
      <c r="L3" s="28" t="s">
        <v>12</v>
      </c>
      <c r="M3" s="23" t="s">
        <v>2</v>
      </c>
      <c r="R3" s="37" t="s">
        <v>14</v>
      </c>
      <c r="S3" s="37" t="s">
        <v>15</v>
      </c>
      <c r="T3" s="38" t="s">
        <v>138</v>
      </c>
      <c r="U3" s="38" t="s">
        <v>92</v>
      </c>
      <c r="V3" s="38" t="s">
        <v>93</v>
      </c>
      <c r="W3" s="38" t="s">
        <v>94</v>
      </c>
      <c r="X3" s="47" t="s">
        <v>139</v>
      </c>
      <c r="Y3" s="47" t="s">
        <v>140</v>
      </c>
      <c r="Z3" s="51" t="s">
        <v>141</v>
      </c>
      <c r="AA3" s="50" t="s">
        <v>98</v>
      </c>
    </row>
    <row r="4" spans="2:67" customFormat="1" ht="6" customHeight="1"/>
    <row r="5" spans="2:67" ht="85.7" customHeight="1" thickBot="1">
      <c r="B5" s="2"/>
      <c r="C5" s="86"/>
      <c r="D5" s="87"/>
      <c r="E5" s="44" t="s">
        <v>30</v>
      </c>
      <c r="F5" s="132" t="s">
        <v>142</v>
      </c>
      <c r="G5" s="133"/>
      <c r="H5" s="90" t="s">
        <v>31</v>
      </c>
      <c r="I5" s="91"/>
      <c r="J5" s="132" t="s">
        <v>143</v>
      </c>
      <c r="K5" s="133"/>
      <c r="L5" s="91" t="s">
        <v>144</v>
      </c>
      <c r="M5" s="91"/>
      <c r="N5" s="91" t="s">
        <v>37</v>
      </c>
      <c r="O5" s="91"/>
      <c r="P5" s="92" t="s">
        <v>145</v>
      </c>
      <c r="Q5" s="90"/>
      <c r="R5" s="91" t="s">
        <v>146</v>
      </c>
      <c r="S5" s="91"/>
      <c r="T5" s="132" t="s">
        <v>147</v>
      </c>
      <c r="U5" s="133"/>
      <c r="V5" s="132" t="s">
        <v>148</v>
      </c>
      <c r="W5" s="133"/>
      <c r="X5" s="132" t="s">
        <v>149</v>
      </c>
      <c r="Y5" s="133"/>
      <c r="Z5" s="91" t="s">
        <v>150</v>
      </c>
      <c r="AA5" s="91"/>
      <c r="AB5" s="132" t="s">
        <v>41</v>
      </c>
      <c r="AC5" s="133"/>
      <c r="AD5" s="91" t="s">
        <v>151</v>
      </c>
      <c r="AE5" s="91"/>
      <c r="AF5" s="91" t="s">
        <v>152</v>
      </c>
      <c r="AG5" s="91"/>
      <c r="AH5" s="129" t="s">
        <v>153</v>
      </c>
      <c r="AI5" s="130"/>
      <c r="AJ5" s="92" t="s">
        <v>115</v>
      </c>
      <c r="AK5" s="90"/>
      <c r="AL5" s="132" t="s">
        <v>154</v>
      </c>
      <c r="AM5" s="133"/>
      <c r="AN5" s="129" t="s">
        <v>147</v>
      </c>
      <c r="AO5" s="131"/>
      <c r="AP5" s="129" t="s">
        <v>155</v>
      </c>
      <c r="AQ5" s="131"/>
      <c r="AR5" s="132" t="s">
        <v>156</v>
      </c>
      <c r="AS5" s="133"/>
      <c r="AT5" s="129" t="s">
        <v>157</v>
      </c>
      <c r="AU5" s="131"/>
      <c r="AV5" s="45" t="s">
        <v>41</v>
      </c>
      <c r="AW5" s="46"/>
      <c r="AX5" s="129" t="s">
        <v>158</v>
      </c>
      <c r="AY5" s="131"/>
      <c r="AZ5" s="129" t="s">
        <v>159</v>
      </c>
      <c r="BA5" s="131"/>
      <c r="BB5" s="129" t="s">
        <v>153</v>
      </c>
      <c r="BC5" s="130"/>
      <c r="BD5" s="130" t="s">
        <v>108</v>
      </c>
      <c r="BE5" s="131"/>
      <c r="BF5" s="129" t="s">
        <v>119</v>
      </c>
      <c r="BG5" s="130"/>
      <c r="BH5" s="129" t="s">
        <v>160</v>
      </c>
      <c r="BI5" s="131"/>
      <c r="BJ5" s="129" t="s">
        <v>59</v>
      </c>
      <c r="BK5" s="131"/>
      <c r="BL5" s="129" t="s">
        <v>161</v>
      </c>
      <c r="BM5" s="131"/>
      <c r="BN5" s="129" t="s">
        <v>121</v>
      </c>
      <c r="BO5" s="130"/>
    </row>
    <row r="6" spans="2:67" s="36" customFormat="1" ht="26.25" customHeight="1" outlineLevel="1">
      <c r="B6" s="34"/>
      <c r="C6" s="95" t="s">
        <v>62</v>
      </c>
      <c r="D6" s="96"/>
      <c r="E6" s="35"/>
      <c r="F6" s="98" t="s">
        <v>125</v>
      </c>
      <c r="G6" s="94"/>
      <c r="H6" s="94" t="s">
        <v>123</v>
      </c>
      <c r="I6" s="94"/>
      <c r="J6" s="94" t="s">
        <v>15</v>
      </c>
      <c r="K6" s="94"/>
      <c r="L6" s="94" t="s">
        <v>15</v>
      </c>
      <c r="M6" s="94"/>
      <c r="N6" s="94" t="s">
        <v>125</v>
      </c>
      <c r="O6" s="94"/>
      <c r="P6" s="94" t="s">
        <v>162</v>
      </c>
      <c r="Q6" s="94"/>
      <c r="R6" s="94" t="s">
        <v>15</v>
      </c>
      <c r="S6" s="94"/>
      <c r="T6" s="94" t="s">
        <v>15</v>
      </c>
      <c r="U6" s="94"/>
      <c r="V6" s="94" t="s">
        <v>163</v>
      </c>
      <c r="W6" s="94"/>
      <c r="X6" s="127" t="s">
        <v>15</v>
      </c>
      <c r="Y6" s="128"/>
      <c r="Z6" s="94" t="s">
        <v>15</v>
      </c>
      <c r="AA6" s="94"/>
      <c r="AB6" s="94" t="s">
        <v>125</v>
      </c>
      <c r="AC6" s="94"/>
      <c r="AD6" s="94" t="s">
        <v>92</v>
      </c>
      <c r="AE6" s="94"/>
      <c r="AF6" s="94" t="s">
        <v>92</v>
      </c>
      <c r="AG6" s="94"/>
      <c r="AH6" s="94" t="s">
        <v>123</v>
      </c>
      <c r="AI6" s="94"/>
      <c r="AJ6" s="94" t="s">
        <v>162</v>
      </c>
      <c r="AK6" s="94"/>
      <c r="AL6" s="94" t="s">
        <v>15</v>
      </c>
      <c r="AM6" s="94"/>
      <c r="AN6" s="94" t="s">
        <v>15</v>
      </c>
      <c r="AO6" s="94"/>
      <c r="AP6" s="94" t="s">
        <v>15</v>
      </c>
      <c r="AQ6" s="94"/>
      <c r="AR6" s="94" t="s">
        <v>163</v>
      </c>
      <c r="AS6" s="94"/>
      <c r="AT6" s="94" t="s">
        <v>15</v>
      </c>
      <c r="AU6" s="94"/>
      <c r="AV6" s="94" t="s">
        <v>125</v>
      </c>
      <c r="AW6" s="94"/>
      <c r="AX6" s="94" t="s">
        <v>92</v>
      </c>
      <c r="AY6" s="94"/>
      <c r="AZ6" s="94" t="s">
        <v>92</v>
      </c>
      <c r="BA6" s="94"/>
      <c r="BB6" s="94" t="s">
        <v>123</v>
      </c>
      <c r="BC6" s="94"/>
      <c r="BD6" s="94" t="s">
        <v>15</v>
      </c>
      <c r="BE6" s="94"/>
      <c r="BF6" s="94" t="s">
        <v>164</v>
      </c>
      <c r="BG6" s="94"/>
      <c r="BH6" s="94" t="s">
        <v>15</v>
      </c>
      <c r="BI6" s="94"/>
      <c r="BJ6" s="94" t="s">
        <v>165</v>
      </c>
      <c r="BK6" s="94"/>
      <c r="BL6" s="94" t="s">
        <v>125</v>
      </c>
      <c r="BM6" s="94"/>
      <c r="BN6" s="94" t="s">
        <v>125</v>
      </c>
      <c r="BO6" s="94"/>
    </row>
    <row r="7" spans="2:67" s="12" customFormat="1" outlineLevel="1">
      <c r="B7" s="1"/>
      <c r="C7" s="1"/>
      <c r="D7" s="2"/>
      <c r="E7" s="9" t="s">
        <v>74</v>
      </c>
      <c r="F7" s="93">
        <v>-55</v>
      </c>
      <c r="G7" s="93"/>
      <c r="H7" s="93">
        <v>-55</v>
      </c>
      <c r="I7" s="93"/>
      <c r="J7" s="93">
        <v>-50</v>
      </c>
      <c r="K7" s="93"/>
      <c r="L7" s="93">
        <v>-44</v>
      </c>
      <c r="M7" s="93"/>
      <c r="N7" s="93">
        <v>-39</v>
      </c>
      <c r="O7" s="93"/>
      <c r="P7" s="93">
        <v>-27</v>
      </c>
      <c r="Q7" s="93"/>
      <c r="R7" s="93">
        <v>-23</v>
      </c>
      <c r="S7" s="93"/>
      <c r="T7" s="93">
        <v>-22</v>
      </c>
      <c r="U7" s="93"/>
      <c r="V7" s="93">
        <v>-19</v>
      </c>
      <c r="W7" s="93"/>
      <c r="X7" s="93">
        <v>-19</v>
      </c>
      <c r="Y7" s="93"/>
      <c r="Z7" s="93">
        <v>-17</v>
      </c>
      <c r="AA7" s="93"/>
      <c r="AB7" s="93">
        <v>-17</v>
      </c>
      <c r="AC7" s="93"/>
      <c r="AD7" s="93">
        <v>-15</v>
      </c>
      <c r="AE7" s="93"/>
      <c r="AF7" s="93">
        <v>-14</v>
      </c>
      <c r="AG7" s="93"/>
      <c r="AH7" s="93">
        <v>-14</v>
      </c>
      <c r="AI7" s="93"/>
      <c r="AJ7" s="93">
        <v>-11</v>
      </c>
      <c r="AK7" s="93"/>
      <c r="AL7" s="93">
        <v>-9</v>
      </c>
      <c r="AM7" s="93"/>
      <c r="AN7" s="93">
        <v>-8</v>
      </c>
      <c r="AO7" s="93"/>
      <c r="AP7" s="93">
        <v>-8</v>
      </c>
      <c r="AQ7" s="93"/>
      <c r="AR7" s="93">
        <v>-5</v>
      </c>
      <c r="AS7" s="93"/>
      <c r="AT7" s="93">
        <v>-4</v>
      </c>
      <c r="AU7" s="93"/>
      <c r="AV7" s="93">
        <v>-4</v>
      </c>
      <c r="AW7" s="93"/>
      <c r="AX7" s="93">
        <v>-2</v>
      </c>
      <c r="AY7" s="93"/>
      <c r="AZ7" s="93">
        <v>-1</v>
      </c>
      <c r="BA7" s="93"/>
      <c r="BB7" s="93">
        <v>-1</v>
      </c>
      <c r="BC7" s="93"/>
      <c r="BD7" s="93">
        <v>-1</v>
      </c>
      <c r="BE7" s="93"/>
      <c r="BF7" s="93">
        <v>0</v>
      </c>
      <c r="BG7" s="93"/>
      <c r="BH7" s="93">
        <v>0</v>
      </c>
      <c r="BI7" s="93"/>
      <c r="BJ7" s="93">
        <v>1</v>
      </c>
      <c r="BK7" s="93"/>
      <c r="BL7" s="93">
        <v>1</v>
      </c>
      <c r="BM7" s="93"/>
      <c r="BN7" s="93">
        <v>12</v>
      </c>
      <c r="BO7" s="93"/>
    </row>
    <row r="8" spans="2:67" s="12" customFormat="1" outlineLevel="1">
      <c r="B8" s="6" t="s">
        <v>75</v>
      </c>
      <c r="C8" s="6" t="s">
        <v>76</v>
      </c>
      <c r="D8" s="6" t="s">
        <v>77</v>
      </c>
      <c r="E8" s="8" t="s">
        <v>78</v>
      </c>
      <c r="F8" s="6" t="s">
        <v>79</v>
      </c>
      <c r="G8" s="6" t="s">
        <v>80</v>
      </c>
      <c r="H8" s="6" t="s">
        <v>79</v>
      </c>
      <c r="I8" s="6" t="s">
        <v>80</v>
      </c>
      <c r="J8" s="6" t="s">
        <v>79</v>
      </c>
      <c r="K8" s="6" t="s">
        <v>80</v>
      </c>
      <c r="L8" s="6" t="s">
        <v>79</v>
      </c>
      <c r="M8" s="6" t="s">
        <v>80</v>
      </c>
      <c r="N8" s="6" t="s">
        <v>79</v>
      </c>
      <c r="O8" s="6" t="s">
        <v>80</v>
      </c>
      <c r="P8" s="6" t="s">
        <v>79</v>
      </c>
      <c r="Q8" s="6" t="s">
        <v>80</v>
      </c>
      <c r="R8" s="6" t="s">
        <v>79</v>
      </c>
      <c r="S8" s="6" t="s">
        <v>80</v>
      </c>
      <c r="T8" s="6" t="s">
        <v>79</v>
      </c>
      <c r="U8" s="6" t="s">
        <v>80</v>
      </c>
      <c r="V8" s="6" t="s">
        <v>79</v>
      </c>
      <c r="W8" s="6" t="s">
        <v>80</v>
      </c>
      <c r="X8" s="6" t="s">
        <v>79</v>
      </c>
      <c r="Y8" s="6" t="s">
        <v>80</v>
      </c>
      <c r="Z8" s="6" t="s">
        <v>79</v>
      </c>
      <c r="AA8" s="6" t="s">
        <v>80</v>
      </c>
      <c r="AB8" s="6" t="s">
        <v>79</v>
      </c>
      <c r="AC8" s="6" t="s">
        <v>80</v>
      </c>
      <c r="AD8" s="6" t="s">
        <v>79</v>
      </c>
      <c r="AE8" s="6" t="s">
        <v>80</v>
      </c>
      <c r="AF8" s="6" t="s">
        <v>79</v>
      </c>
      <c r="AG8" s="6" t="s">
        <v>80</v>
      </c>
      <c r="AH8" s="6" t="s">
        <v>79</v>
      </c>
      <c r="AI8" s="6" t="s">
        <v>80</v>
      </c>
      <c r="AJ8" s="6" t="s">
        <v>79</v>
      </c>
      <c r="AK8" s="6" t="s">
        <v>80</v>
      </c>
      <c r="AL8" s="6" t="s">
        <v>79</v>
      </c>
      <c r="AM8" s="6" t="s">
        <v>80</v>
      </c>
      <c r="AN8" s="6" t="s">
        <v>79</v>
      </c>
      <c r="AO8" s="6" t="s">
        <v>80</v>
      </c>
      <c r="AP8" s="6" t="s">
        <v>79</v>
      </c>
      <c r="AQ8" s="6" t="s">
        <v>80</v>
      </c>
      <c r="AR8" s="6" t="s">
        <v>79</v>
      </c>
      <c r="AS8" s="6" t="s">
        <v>80</v>
      </c>
      <c r="AT8" s="6" t="s">
        <v>79</v>
      </c>
      <c r="AU8" s="6" t="s">
        <v>80</v>
      </c>
      <c r="AV8" s="6" t="s">
        <v>79</v>
      </c>
      <c r="AW8" s="6" t="s">
        <v>80</v>
      </c>
      <c r="AX8" s="6" t="s">
        <v>79</v>
      </c>
      <c r="AY8" s="6" t="s">
        <v>80</v>
      </c>
      <c r="AZ8" s="6" t="s">
        <v>79</v>
      </c>
      <c r="BA8" s="6" t="s">
        <v>80</v>
      </c>
      <c r="BB8" s="6" t="s">
        <v>79</v>
      </c>
      <c r="BC8" s="6" t="s">
        <v>80</v>
      </c>
      <c r="BD8" s="6" t="s">
        <v>79</v>
      </c>
      <c r="BE8" s="6" t="s">
        <v>80</v>
      </c>
      <c r="BF8" s="6" t="s">
        <v>79</v>
      </c>
      <c r="BG8" s="6" t="s">
        <v>80</v>
      </c>
      <c r="BH8" s="6" t="s">
        <v>79</v>
      </c>
      <c r="BI8" s="6" t="s">
        <v>80</v>
      </c>
      <c r="BJ8" s="6" t="s">
        <v>79</v>
      </c>
      <c r="BK8" s="6" t="s">
        <v>80</v>
      </c>
      <c r="BL8" s="6" t="s">
        <v>79</v>
      </c>
      <c r="BM8" s="6" t="s">
        <v>80</v>
      </c>
      <c r="BN8" s="6" t="s">
        <v>79</v>
      </c>
      <c r="BO8" s="6" t="s">
        <v>80</v>
      </c>
    </row>
    <row r="9" spans="2:67">
      <c r="B9" s="43" t="s">
        <v>166</v>
      </c>
      <c r="C9" s="7" t="s">
        <v>135</v>
      </c>
      <c r="D9" s="3" t="s">
        <v>167</v>
      </c>
      <c r="E9" s="4">
        <v>45702</v>
      </c>
      <c r="F9" s="26">
        <f t="shared" ref="F9" si="0">WORKDAY($E9,F$7, Blackout_Dates)</f>
        <v>45616</v>
      </c>
      <c r="G9" s="27" t="s">
        <v>2</v>
      </c>
      <c r="H9" s="26">
        <f t="shared" ref="H9" si="1">WORKDAY($E9,H$7, Blackout_Dates)</f>
        <v>45616</v>
      </c>
      <c r="I9" s="27" t="s">
        <v>1</v>
      </c>
      <c r="J9" s="26">
        <f t="shared" ref="J9" si="2">WORKDAY($E9,J$7, Blackout_Dates)</f>
        <v>45623</v>
      </c>
      <c r="K9" s="27" t="s">
        <v>0</v>
      </c>
      <c r="L9" s="26">
        <f t="shared" ref="L9:BN9" si="3">WORKDAY($E9,L$7, Blackout_Dates)</f>
        <v>45631</v>
      </c>
      <c r="M9" s="27" t="s">
        <v>0</v>
      </c>
      <c r="N9" s="26">
        <f t="shared" si="3"/>
        <v>45638</v>
      </c>
      <c r="O9" s="27" t="s">
        <v>0</v>
      </c>
      <c r="P9" s="26">
        <f t="shared" si="3"/>
        <v>45664</v>
      </c>
      <c r="Q9" s="27"/>
      <c r="R9" s="26">
        <f t="shared" si="3"/>
        <v>45670</v>
      </c>
      <c r="S9" s="27"/>
      <c r="T9" s="26">
        <f t="shared" si="3"/>
        <v>45671</v>
      </c>
      <c r="U9" s="27"/>
      <c r="V9" s="26">
        <f t="shared" si="3"/>
        <v>45677</v>
      </c>
      <c r="W9" s="27"/>
      <c r="X9" s="26">
        <f t="shared" si="3"/>
        <v>45677</v>
      </c>
      <c r="Y9" s="27"/>
      <c r="Z9" s="26">
        <f t="shared" si="3"/>
        <v>45679</v>
      </c>
      <c r="AA9" s="27"/>
      <c r="AB9" s="26">
        <f t="shared" si="3"/>
        <v>45679</v>
      </c>
      <c r="AC9" s="27"/>
      <c r="AD9" s="26">
        <f t="shared" si="3"/>
        <v>45681</v>
      </c>
      <c r="AE9" s="27"/>
      <c r="AF9" s="26">
        <f t="shared" si="3"/>
        <v>45684</v>
      </c>
      <c r="AG9" s="27"/>
      <c r="AH9" s="26">
        <f t="shared" si="3"/>
        <v>45684</v>
      </c>
      <c r="AI9" s="27"/>
      <c r="AJ9" s="26">
        <f t="shared" si="3"/>
        <v>45687</v>
      </c>
      <c r="AK9" s="27"/>
      <c r="AL9" s="26">
        <f t="shared" si="3"/>
        <v>45691</v>
      </c>
      <c r="AM9" s="27"/>
      <c r="AN9" s="26">
        <f t="shared" si="3"/>
        <v>45692</v>
      </c>
      <c r="AO9" s="27"/>
      <c r="AP9" s="26">
        <f t="shared" si="3"/>
        <v>45692</v>
      </c>
      <c r="AQ9" s="27"/>
      <c r="AR9" s="26">
        <f t="shared" si="3"/>
        <v>45695</v>
      </c>
      <c r="AS9" s="27"/>
      <c r="AT9" s="26">
        <f t="shared" si="3"/>
        <v>45698</v>
      </c>
      <c r="AU9" s="27"/>
      <c r="AV9" s="26">
        <f t="shared" si="3"/>
        <v>45698</v>
      </c>
      <c r="AW9" s="27"/>
      <c r="AX9" s="26">
        <f t="shared" si="3"/>
        <v>45700</v>
      </c>
      <c r="AY9" s="27"/>
      <c r="AZ9" s="26">
        <f t="shared" si="3"/>
        <v>45701</v>
      </c>
      <c r="BA9" s="27"/>
      <c r="BB9" s="26">
        <f t="shared" si="3"/>
        <v>45701</v>
      </c>
      <c r="BC9" s="27"/>
      <c r="BD9" s="26">
        <f t="shared" si="3"/>
        <v>45701</v>
      </c>
      <c r="BE9" s="27"/>
      <c r="BF9" s="26">
        <f t="shared" si="3"/>
        <v>45702</v>
      </c>
      <c r="BG9" s="27"/>
      <c r="BH9" s="26">
        <f t="shared" si="3"/>
        <v>45702</v>
      </c>
      <c r="BI9" s="27"/>
      <c r="BJ9" s="26">
        <f t="shared" si="3"/>
        <v>45705</v>
      </c>
      <c r="BK9" s="27"/>
      <c r="BL9" s="26">
        <f t="shared" si="3"/>
        <v>45705</v>
      </c>
      <c r="BM9" s="27"/>
      <c r="BN9" s="26">
        <f t="shared" si="3"/>
        <v>45720</v>
      </c>
      <c r="BO9" s="27"/>
    </row>
    <row r="10" spans="2:67">
      <c r="B10" s="7"/>
      <c r="C10" s="7"/>
      <c r="D10" s="3"/>
      <c r="E10" s="7"/>
      <c r="F10" s="7"/>
      <c r="G10" s="7"/>
      <c r="H10" s="7"/>
      <c r="I10" s="7"/>
      <c r="J10" s="3"/>
      <c r="K10" s="2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row>
  </sheetData>
  <mergeCells count="94">
    <mergeCell ref="Z5:AA5"/>
    <mergeCell ref="C5:D5"/>
    <mergeCell ref="F5:G5"/>
    <mergeCell ref="H5:I5"/>
    <mergeCell ref="J5:K5"/>
    <mergeCell ref="L5:M5"/>
    <mergeCell ref="N5:O5"/>
    <mergeCell ref="P5:Q5"/>
    <mergeCell ref="R5:S5"/>
    <mergeCell ref="T5:U5"/>
    <mergeCell ref="V5:W5"/>
    <mergeCell ref="X5:Y5"/>
    <mergeCell ref="AZ5:BA5"/>
    <mergeCell ref="AB5:AC5"/>
    <mergeCell ref="AD5:AE5"/>
    <mergeCell ref="AF5:AG5"/>
    <mergeCell ref="AH5:AI5"/>
    <mergeCell ref="AJ5:AK5"/>
    <mergeCell ref="AL5:AM5"/>
    <mergeCell ref="AN5:AO5"/>
    <mergeCell ref="AP5:AQ5"/>
    <mergeCell ref="AR5:AS5"/>
    <mergeCell ref="AT5:AU5"/>
    <mergeCell ref="AX5:AY5"/>
    <mergeCell ref="BN5:BO5"/>
    <mergeCell ref="C6:D6"/>
    <mergeCell ref="F6:G6"/>
    <mergeCell ref="H6:I6"/>
    <mergeCell ref="J6:K6"/>
    <mergeCell ref="L6:M6"/>
    <mergeCell ref="N6:O6"/>
    <mergeCell ref="P6:Q6"/>
    <mergeCell ref="R6:S6"/>
    <mergeCell ref="T6:U6"/>
    <mergeCell ref="BB5:BC5"/>
    <mergeCell ref="BD5:BE5"/>
    <mergeCell ref="BF5:BG5"/>
    <mergeCell ref="BH5:BI5"/>
    <mergeCell ref="BJ5:BK5"/>
    <mergeCell ref="BL5:BM5"/>
    <mergeCell ref="V6:W6"/>
    <mergeCell ref="X6:Y6"/>
    <mergeCell ref="Z6:AA6"/>
    <mergeCell ref="AB6:AC6"/>
    <mergeCell ref="AD6:AE6"/>
    <mergeCell ref="BN6:BO6"/>
    <mergeCell ref="F7:G7"/>
    <mergeCell ref="H7:I7"/>
    <mergeCell ref="J7:K7"/>
    <mergeCell ref="L7:M7"/>
    <mergeCell ref="N7:O7"/>
    <mergeCell ref="AT6:AU6"/>
    <mergeCell ref="AV6:AW6"/>
    <mergeCell ref="AX6:AY6"/>
    <mergeCell ref="AZ6:BA6"/>
    <mergeCell ref="BB6:BC6"/>
    <mergeCell ref="BD6:BE6"/>
    <mergeCell ref="AH6:AI6"/>
    <mergeCell ref="AJ6:AK6"/>
    <mergeCell ref="AL6:AM6"/>
    <mergeCell ref="AN6:AO6"/>
    <mergeCell ref="Z7:AA7"/>
    <mergeCell ref="BF6:BG6"/>
    <mergeCell ref="BH6:BI6"/>
    <mergeCell ref="BJ6:BK6"/>
    <mergeCell ref="BL6:BM6"/>
    <mergeCell ref="AP6:AQ6"/>
    <mergeCell ref="AR6:AS6"/>
    <mergeCell ref="AF6:AG6"/>
    <mergeCell ref="AX7:AY7"/>
    <mergeCell ref="AB7:AC7"/>
    <mergeCell ref="AD7:AE7"/>
    <mergeCell ref="AF7:AG7"/>
    <mergeCell ref="AH7:AI7"/>
    <mergeCell ref="AJ7:AK7"/>
    <mergeCell ref="AL7:AM7"/>
    <mergeCell ref="AN7:AO7"/>
    <mergeCell ref="P7:Q7"/>
    <mergeCell ref="R7:S7"/>
    <mergeCell ref="T7:U7"/>
    <mergeCell ref="V7:W7"/>
    <mergeCell ref="X7:Y7"/>
    <mergeCell ref="AP7:AQ7"/>
    <mergeCell ref="AR7:AS7"/>
    <mergeCell ref="AT7:AU7"/>
    <mergeCell ref="AV7:AW7"/>
    <mergeCell ref="BL7:BM7"/>
    <mergeCell ref="BN7:BO7"/>
    <mergeCell ref="AZ7:BA7"/>
    <mergeCell ref="BB7:BC7"/>
    <mergeCell ref="BD7:BE7"/>
    <mergeCell ref="BF7:BG7"/>
    <mergeCell ref="BH7:BI7"/>
    <mergeCell ref="BJ7:BK7"/>
  </mergeCells>
  <conditionalFormatting sqref="F9 H9 J9 L9 N9 P9 R9 T9 V9 X9 Z9 AB9 AD9 AF9 AH9 AJ9 AL9 AN9 AP9 AR9 AT9 AV9 AX9 AZ9 BB9 BD9 BF9 BH9 BJ9 BL9 BN9">
    <cfRule type="expression" dxfId="98" priority="263">
      <formula>AND(F9&gt;=TODAY(), G9="A")</formula>
    </cfRule>
    <cfRule type="expression" dxfId="97" priority="264">
      <formula>AND(EDATE(F9,1),G9="C")</formula>
    </cfRule>
    <cfRule type="expression" dxfId="96" priority="265">
      <formula>AND(EDATE(F9,1), F9&gt;TODAY())</formula>
    </cfRule>
    <cfRule type="expression" dxfId="95" priority="266">
      <formula>AND(EDATE(F9,1),NOT(ISBLANK(F9)), F9&lt;TODAY())</formula>
    </cfRule>
    <cfRule type="containsText" dxfId="94" priority="267" operator="containsText" text="A">
      <formula>NOT(ISERROR(SEARCH("A",F9)))</formula>
    </cfRule>
    <cfRule type="containsText" dxfId="93" priority="268" operator="containsText" text="D">
      <formula>NOT(ISERROR(SEARCH("D",F9)))</formula>
    </cfRule>
    <cfRule type="containsText" dxfId="92" priority="269" operator="containsText" text="C">
      <formula>NOT(ISERROR(SEARCH("C",F9)))</formula>
    </cfRule>
    <cfRule type="containsText" dxfId="91" priority="270" operator="containsText" text="R">
      <formula>NOT(ISERROR(SEARCH("R",F9)))</formula>
    </cfRule>
    <cfRule type="containsBlanks" dxfId="90" priority="271">
      <formula>LEN(TRIM(F9))=0</formula>
    </cfRule>
  </conditionalFormatting>
  <conditionalFormatting sqref="G3 M3">
    <cfRule type="containsText" dxfId="89" priority="262" operator="containsText" text="A">
      <formula>NOT(ISERROR(SEARCH("A",G3)))</formula>
    </cfRule>
  </conditionalFormatting>
  <conditionalFormatting sqref="G9 I9 M9 O9 Q9 U9 AA9 AG9 AI9 AO9 AS9 BA9 BC9 BE9 BI9 BK9 BM9 K9:K10">
    <cfRule type="expression" dxfId="88" priority="272">
      <formula>AND(G9&gt;=TODAY(), #REF!="A")</formula>
    </cfRule>
    <cfRule type="expression" dxfId="87" priority="273">
      <formula>AND(EDATE(G9,1),#REF!="C")</formula>
    </cfRule>
    <cfRule type="expression" dxfId="86" priority="274">
      <formula>AND(EDATE(G9,1), G9&gt;TODAY())</formula>
    </cfRule>
    <cfRule type="expression" dxfId="85" priority="275">
      <formula>AND(EDATE(G9,1),NOT(ISBLANK(G9)), G9&lt;TODAY())</formula>
    </cfRule>
    <cfRule type="containsText" dxfId="84" priority="276" operator="containsText" text="A">
      <formula>NOT(ISERROR(SEARCH("A",G9)))</formula>
    </cfRule>
    <cfRule type="containsText" dxfId="83" priority="277" operator="containsText" text="D">
      <formula>NOT(ISERROR(SEARCH("D",G9)))</formula>
    </cfRule>
    <cfRule type="containsText" dxfId="82" priority="278" operator="containsText" text="C">
      <formula>NOT(ISERROR(SEARCH("C",G9)))</formula>
    </cfRule>
    <cfRule type="containsText" dxfId="81" priority="279" operator="containsText" text="R">
      <formula>NOT(ISERROR(SEARCH("R",G9)))</formula>
    </cfRule>
    <cfRule type="containsBlanks" dxfId="80" priority="280">
      <formula>LEN(TRIM(G9))=0</formula>
    </cfRule>
  </conditionalFormatting>
  <conditionalFormatting sqref="I3 K3">
    <cfRule type="expression" dxfId="79" priority="281">
      <formula>AND(EDATE(I3,1),#REF!="C")</formula>
    </cfRule>
    <cfRule type="expression" dxfId="78" priority="282">
      <formula>AND(EDATE(I3,1), I3&gt;TODAY())</formula>
    </cfRule>
    <cfRule type="expression" dxfId="77" priority="283">
      <formula>AND(EDATE(I3,1),NOT(ISBLANK(I3)), I3&lt;TODAY())</formula>
    </cfRule>
    <cfRule type="containsText" dxfId="76" priority="284" operator="containsText" text="A">
      <formula>NOT(ISERROR(SEARCH("A",I3)))</formula>
    </cfRule>
    <cfRule type="containsText" dxfId="75" priority="285" operator="containsText" text="D">
      <formula>NOT(ISERROR(SEARCH("D",I3)))</formula>
    </cfRule>
    <cfRule type="containsText" dxfId="74" priority="286" operator="containsText" text="C">
      <formula>NOT(ISERROR(SEARCH("C",I3)))</formula>
    </cfRule>
    <cfRule type="containsText" dxfId="73" priority="287" operator="containsText" text="R">
      <formula>NOT(ISERROR(SEARCH("R",I3)))</formula>
    </cfRule>
    <cfRule type="containsBlanks" dxfId="72" priority="288">
      <formula>LEN(TRIM(I3))=0</formula>
    </cfRule>
  </conditionalFormatting>
  <conditionalFormatting sqref="S9 AM9">
    <cfRule type="expression" dxfId="71" priority="235">
      <formula>AND(S9&gt;=TODAY(), #REF!="A")</formula>
    </cfRule>
    <cfRule type="expression" dxfId="70" priority="236">
      <formula>AND(EDATE(S9,1),#REF!="C")</formula>
    </cfRule>
    <cfRule type="expression" dxfId="69" priority="237">
      <formula>AND(EDATE(S9,1), S9&gt;TODAY())</formula>
    </cfRule>
    <cfRule type="expression" dxfId="68" priority="238">
      <formula>AND(EDATE(S9,1),NOT(ISBLANK(S9)), S9&lt;TODAY())</formula>
    </cfRule>
    <cfRule type="containsText" dxfId="67" priority="239" operator="containsText" text="A">
      <formula>NOT(ISERROR(SEARCH("A",S9)))</formula>
    </cfRule>
    <cfRule type="containsText" dxfId="66" priority="240" operator="containsText" text="D">
      <formula>NOT(ISERROR(SEARCH("D",S9)))</formula>
    </cfRule>
    <cfRule type="containsText" dxfId="65" priority="241" operator="containsText" text="C">
      <formula>NOT(ISERROR(SEARCH("C",S9)))</formula>
    </cfRule>
    <cfRule type="containsText" dxfId="64" priority="242" operator="containsText" text="R">
      <formula>NOT(ISERROR(SEARCH("R",S9)))</formula>
    </cfRule>
    <cfRule type="containsBlanks" dxfId="63" priority="243">
      <formula>LEN(TRIM(S9))=0</formula>
    </cfRule>
  </conditionalFormatting>
  <conditionalFormatting sqref="W9">
    <cfRule type="expression" dxfId="62" priority="217">
      <formula>AND(W9&gt;=TODAY(), #REF!="A")</formula>
    </cfRule>
    <cfRule type="expression" dxfId="61" priority="218">
      <formula>AND(EDATE(W9,1),#REF!="C")</formula>
    </cfRule>
    <cfRule type="expression" dxfId="60" priority="219">
      <formula>AND(EDATE(W9,1), W9&gt;TODAY())</formula>
    </cfRule>
    <cfRule type="expression" dxfId="59" priority="220">
      <formula>AND(EDATE(W9,1),NOT(ISBLANK(W9)), W9&lt;TODAY())</formula>
    </cfRule>
    <cfRule type="containsText" dxfId="58" priority="221" operator="containsText" text="A">
      <formula>NOT(ISERROR(SEARCH("A",W9)))</formula>
    </cfRule>
    <cfRule type="containsText" dxfId="57" priority="222" operator="containsText" text="D">
      <formula>NOT(ISERROR(SEARCH("D",W9)))</formula>
    </cfRule>
    <cfRule type="containsText" dxfId="56" priority="223" operator="containsText" text="C">
      <formula>NOT(ISERROR(SEARCH("C",W9)))</formula>
    </cfRule>
    <cfRule type="containsText" dxfId="55" priority="224" operator="containsText" text="R">
      <formula>NOT(ISERROR(SEARCH("R",W9)))</formula>
    </cfRule>
    <cfRule type="containsBlanks" dxfId="54" priority="225">
      <formula>LEN(TRIM(W9))=0</formula>
    </cfRule>
  </conditionalFormatting>
  <conditionalFormatting sqref="Y9">
    <cfRule type="expression" dxfId="53" priority="208">
      <formula>AND(Y9&gt;=TODAY(), #REF!="A")</formula>
    </cfRule>
    <cfRule type="expression" dxfId="52" priority="209">
      <formula>AND(EDATE(Y9,1),#REF!="C")</formula>
    </cfRule>
    <cfRule type="expression" dxfId="51" priority="210">
      <formula>AND(EDATE(Y9,1), Y9&gt;TODAY())</formula>
    </cfRule>
    <cfRule type="expression" dxfId="50" priority="211">
      <formula>AND(EDATE(Y9,1),NOT(ISBLANK(Y9)), Y9&lt;TODAY())</formula>
    </cfRule>
    <cfRule type="containsText" dxfId="49" priority="212" operator="containsText" text="A">
      <formula>NOT(ISERROR(SEARCH("A",Y9)))</formula>
    </cfRule>
    <cfRule type="containsText" dxfId="48" priority="213" operator="containsText" text="D">
      <formula>NOT(ISERROR(SEARCH("D",Y9)))</formula>
    </cfRule>
    <cfRule type="containsText" dxfId="47" priority="214" operator="containsText" text="C">
      <formula>NOT(ISERROR(SEARCH("C",Y9)))</formula>
    </cfRule>
    <cfRule type="containsText" dxfId="46" priority="215" operator="containsText" text="R">
      <formula>NOT(ISERROR(SEARCH("R",Y9)))</formula>
    </cfRule>
    <cfRule type="containsBlanks" dxfId="45" priority="216">
      <formula>LEN(TRIM(Y9))=0</formula>
    </cfRule>
  </conditionalFormatting>
  <conditionalFormatting sqref="AC9 AK9">
    <cfRule type="expression" dxfId="44" priority="190">
      <formula>AND(AC9&gt;=TODAY(), #REF!="A")</formula>
    </cfRule>
    <cfRule type="expression" dxfId="43" priority="191">
      <formula>AND(EDATE(AC9,1),#REF!="C")</formula>
    </cfRule>
    <cfRule type="expression" dxfId="42" priority="192">
      <formula>AND(EDATE(AC9,1), AC9&gt;TODAY())</formula>
    </cfRule>
    <cfRule type="expression" dxfId="41" priority="193">
      <formula>AND(EDATE(AC9,1),NOT(ISBLANK(AC9)), AC9&lt;TODAY())</formula>
    </cfRule>
    <cfRule type="containsText" dxfId="40" priority="194" operator="containsText" text="A">
      <formula>NOT(ISERROR(SEARCH("A",AC9)))</formula>
    </cfRule>
    <cfRule type="containsText" dxfId="39" priority="195" operator="containsText" text="D">
      <formula>NOT(ISERROR(SEARCH("D",AC9)))</formula>
    </cfRule>
    <cfRule type="containsText" dxfId="38" priority="196" operator="containsText" text="C">
      <formula>NOT(ISERROR(SEARCH("C",AC9)))</formula>
    </cfRule>
    <cfRule type="containsText" dxfId="37" priority="197" operator="containsText" text="R">
      <formula>NOT(ISERROR(SEARCH("R",AC9)))</formula>
    </cfRule>
    <cfRule type="containsBlanks" dxfId="36" priority="198">
      <formula>LEN(TRIM(AC9))=0</formula>
    </cfRule>
  </conditionalFormatting>
  <conditionalFormatting sqref="AE9 AY9">
    <cfRule type="expression" dxfId="35" priority="181">
      <formula>AND(AE9&gt;=TODAY(), #REF!="A")</formula>
    </cfRule>
    <cfRule type="expression" dxfId="34" priority="182">
      <formula>AND(EDATE(AE9,1),#REF!="C")</formula>
    </cfRule>
    <cfRule type="expression" dxfId="33" priority="183">
      <formula>AND(EDATE(AE9,1), AE9&gt;TODAY())</formula>
    </cfRule>
    <cfRule type="expression" dxfId="32" priority="184">
      <formula>AND(EDATE(AE9,1),NOT(ISBLANK(AE9)), AE9&lt;TODAY())</formula>
    </cfRule>
    <cfRule type="containsText" dxfId="31" priority="185" operator="containsText" text="A">
      <formula>NOT(ISERROR(SEARCH("A",AE9)))</formula>
    </cfRule>
    <cfRule type="containsText" dxfId="30" priority="186" operator="containsText" text="D">
      <formula>NOT(ISERROR(SEARCH("D",AE9)))</formula>
    </cfRule>
    <cfRule type="containsText" dxfId="29" priority="187" operator="containsText" text="C">
      <formula>NOT(ISERROR(SEARCH("C",AE9)))</formula>
    </cfRule>
    <cfRule type="containsText" dxfId="28" priority="188" operator="containsText" text="R">
      <formula>NOT(ISERROR(SEARCH("R",AE9)))</formula>
    </cfRule>
    <cfRule type="containsBlanks" dxfId="27" priority="189">
      <formula>LEN(TRIM(AE9))=0</formula>
    </cfRule>
  </conditionalFormatting>
  <conditionalFormatting sqref="AQ9 AU9 BG9">
    <cfRule type="expression" dxfId="26" priority="127">
      <formula>AND(AQ9&gt;=TODAY(), #REF!="A")</formula>
    </cfRule>
    <cfRule type="expression" dxfId="25" priority="128">
      <formula>AND(EDATE(AQ9,1),#REF!="C")</formula>
    </cfRule>
    <cfRule type="expression" dxfId="24" priority="129">
      <formula>AND(EDATE(AQ9,1), AQ9&gt;TODAY())</formula>
    </cfRule>
    <cfRule type="expression" dxfId="23" priority="130">
      <formula>AND(EDATE(AQ9,1),NOT(ISBLANK(AQ9)), AQ9&lt;TODAY())</formula>
    </cfRule>
    <cfRule type="containsText" dxfId="22" priority="131" operator="containsText" text="A">
      <formula>NOT(ISERROR(SEARCH("A",AQ9)))</formula>
    </cfRule>
    <cfRule type="containsText" dxfId="21" priority="132" operator="containsText" text="D">
      <formula>NOT(ISERROR(SEARCH("D",AQ9)))</formula>
    </cfRule>
    <cfRule type="containsText" dxfId="20" priority="133" operator="containsText" text="C">
      <formula>NOT(ISERROR(SEARCH("C",AQ9)))</formula>
    </cfRule>
    <cfRule type="containsText" dxfId="19" priority="134" operator="containsText" text="R">
      <formula>NOT(ISERROR(SEARCH("R",AQ9)))</formula>
    </cfRule>
    <cfRule type="containsBlanks" dxfId="18" priority="135">
      <formula>LEN(TRIM(AQ9))=0</formula>
    </cfRule>
  </conditionalFormatting>
  <conditionalFormatting sqref="AW9">
    <cfRule type="expression" dxfId="17" priority="100">
      <formula>AND(AW9&gt;=TODAY(), #REF!="A")</formula>
    </cfRule>
    <cfRule type="expression" dxfId="16" priority="101">
      <formula>AND(EDATE(AW9,1),#REF!="C")</formula>
    </cfRule>
    <cfRule type="expression" dxfId="15" priority="102">
      <formula>AND(EDATE(AW9,1), AW9&gt;TODAY())</formula>
    </cfRule>
    <cfRule type="expression" dxfId="14" priority="103">
      <formula>AND(EDATE(AW9,1),NOT(ISBLANK(AW9)), AW9&lt;TODAY())</formula>
    </cfRule>
    <cfRule type="containsText" dxfId="13" priority="104" operator="containsText" text="A">
      <formula>NOT(ISERROR(SEARCH("A",AW9)))</formula>
    </cfRule>
    <cfRule type="containsText" dxfId="12" priority="105" operator="containsText" text="D">
      <formula>NOT(ISERROR(SEARCH("D",AW9)))</formula>
    </cfRule>
    <cfRule type="containsText" dxfId="11" priority="106" operator="containsText" text="C">
      <formula>NOT(ISERROR(SEARCH("C",AW9)))</formula>
    </cfRule>
    <cfRule type="containsText" dxfId="10" priority="107" operator="containsText" text="R">
      <formula>NOT(ISERROR(SEARCH("R",AW9)))</formula>
    </cfRule>
    <cfRule type="containsBlanks" dxfId="9" priority="108">
      <formula>LEN(TRIM(AW9))=0</formula>
    </cfRule>
  </conditionalFormatting>
  <conditionalFormatting sqref="BO9">
    <cfRule type="expression" dxfId="8" priority="19">
      <formula>AND(BO9&gt;=TODAY(), #REF!="A")</formula>
    </cfRule>
    <cfRule type="expression" dxfId="7" priority="20">
      <formula>AND(EDATE(BO9,1),#REF!="C")</formula>
    </cfRule>
    <cfRule type="expression" dxfId="6" priority="21">
      <formula>AND(EDATE(BO9,1), BO9&gt;TODAY())</formula>
    </cfRule>
    <cfRule type="expression" dxfId="5" priority="22">
      <formula>AND(EDATE(BO9,1),NOT(ISBLANK(BO9)), BO9&lt;TODAY())</formula>
    </cfRule>
    <cfRule type="containsText" dxfId="4" priority="23" operator="containsText" text="A">
      <formula>NOT(ISERROR(SEARCH("A",BO9)))</formula>
    </cfRule>
    <cfRule type="containsText" dxfId="3" priority="24" operator="containsText" text="D">
      <formula>NOT(ISERROR(SEARCH("D",BO9)))</formula>
    </cfRule>
    <cfRule type="containsText" dxfId="2" priority="25" operator="containsText" text="C">
      <formula>NOT(ISERROR(SEARCH("C",BO9)))</formula>
    </cfRule>
    <cfRule type="containsText" dxfId="1" priority="26" operator="containsText" text="R">
      <formula>NOT(ISERROR(SEARCH("R",BO9)))</formula>
    </cfRule>
    <cfRule type="containsBlanks" dxfId="0" priority="27">
      <formula>LEN(TRIM(BO9))=0</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09AC0C3-A033-49DE-B1DF-89C09DA5ACA9}">
          <x14:formula1>
            <xm:f>'Blackout Dates'!$D$2:$D$5</xm:f>
          </x14:formula1>
          <xm:sqref>BO9 BK9 BG9 BE9 BC9 BA9 AY9 AW9 AU9 AS9 AQ9 AO9 AM9 AK9 AI9 AG9 AE9 AC9 AA9 W9 U9 S9 Q9 M9 O9 I9 BI9 BM9 G9 Y9 K9:K10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7DB559C68D3447A68708102A87A01D" ma:contentTypeVersion="14" ma:contentTypeDescription="Create a new document." ma:contentTypeScope="" ma:versionID="11e7d119e5dd9b48b5e1890566b9d1a7">
  <xsd:schema xmlns:xsd="http://www.w3.org/2001/XMLSchema" xmlns:xs="http://www.w3.org/2001/XMLSchema" xmlns:p="http://schemas.microsoft.com/office/2006/metadata/properties" xmlns:ns2="57e7e4cf-3109-49b7-888e-72be1d75294e" xmlns:ns3="01d6cdd6-f2f9-44a8-b52f-ad7da13e21c5" targetNamespace="http://schemas.microsoft.com/office/2006/metadata/properties" ma:root="true" ma:fieldsID="5a5a62dab775ad76a81bb99e6013a578" ns2:_="" ns3:_="">
    <xsd:import namespace="57e7e4cf-3109-49b7-888e-72be1d75294e"/>
    <xsd:import namespace="01d6cdd6-f2f9-44a8-b52f-ad7da13e21c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DescriptionofFile" minOccurs="0"/>
                <xsd:element ref="ns2:Reviewedby"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e7e4cf-3109-49b7-888e-72be1d7529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035c345-a771-4d1f-8eb8-e6e64da6977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DescriptionofFile" ma:index="19" nillable="true" ma:displayName="Description of File" ma:format="Dropdown" ma:internalName="DescriptionofFile">
      <xsd:simpleType>
        <xsd:restriction base="dms:Note">
          <xsd:maxLength value="255"/>
        </xsd:restriction>
      </xsd:simpleType>
    </xsd:element>
    <xsd:element name="Reviewedby" ma:index="20" nillable="true" ma:displayName="Reviewed by" ma:description="Add initials if you reviewed document" ma:format="Dropdown" ma:internalName="Reviewedby">
      <xsd:simpleType>
        <xsd:restriction base="dms:Text">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1d6cdd6-f2f9-44a8-b52f-ad7da13e21c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3ccda05-3dc1-481a-9727-93b3bbe135dc}" ma:internalName="TaxCatchAll" ma:showField="CatchAllData" ma:web="01d6cdd6-f2f9-44a8-b52f-ad7da13e21c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7e7e4cf-3109-49b7-888e-72be1d75294e">
      <Terms xmlns="http://schemas.microsoft.com/office/infopath/2007/PartnerControls"/>
    </lcf76f155ced4ddcb4097134ff3c332f>
    <TaxCatchAll xmlns="01d6cdd6-f2f9-44a8-b52f-ad7da13e21c5" xsi:nil="true"/>
    <DescriptionofFile xmlns="57e7e4cf-3109-49b7-888e-72be1d75294e" xsi:nil="true"/>
    <Reviewedby xmlns="57e7e4cf-3109-49b7-888e-72be1d75294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5701097-1278-4AE7-8816-658719E50BC7}"/>
</file>

<file path=customXml/itemProps2.xml><?xml version="1.0" encoding="utf-8"?>
<ds:datastoreItem xmlns:ds="http://schemas.openxmlformats.org/officeDocument/2006/customXml" ds:itemID="{95924BB0-1F8F-492B-AA0B-2DADD842414F}"/>
</file>

<file path=customXml/itemProps3.xml><?xml version="1.0" encoding="utf-8"?>
<ds:datastoreItem xmlns:ds="http://schemas.openxmlformats.org/officeDocument/2006/customXml" ds:itemID="{6DFE5568-0426-43F0-84C9-6C89AE49A08B}"/>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Hays, Craig B</dc:creator>
  <cp:keywords/>
  <dc:description/>
  <cp:lastModifiedBy>R, Seenu [FH]</cp:lastModifiedBy>
  <cp:revision/>
  <dcterms:created xsi:type="dcterms:W3CDTF">2021-09-14T12:48:30Z</dcterms:created>
  <dcterms:modified xsi:type="dcterms:W3CDTF">2026-01-30T10:27:55Z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0x010100BC7DB559C68D3447A68708102A87A01D</vt:lpwstr>
  </property>
  <property fmtid="{D5CDD505-2E9C-101B-9397-08002B2CF9AE}" pid="3" name="MediaServiceImageTags">
    <vt:lpwstr/>
  </property>
</Properties>
</file>